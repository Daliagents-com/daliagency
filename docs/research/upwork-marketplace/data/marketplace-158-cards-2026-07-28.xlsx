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c26d026b6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1468a877b8a49fa"/>
    <x:sheet xmlns:r="http://schemas.openxmlformats.org/officeDocument/2006/relationships" name="Все задачи" sheetId="2" r:id="R9ffa400a513d4e72"/>
    <x:sheet xmlns:r="http://schemas.openxmlformats.org/officeDocument/2006/relationships" name="Upwork 100" sheetId="3" r:id="Rec3fe76842394a24"/>
    <x:sheet xmlns:r="http://schemas.openxmlformats.org/officeDocument/2006/relationships" name="FL.ru 58" sheetId="4" r:id="R8dcb1b9cb51f405d"/>
    <x:sheet xmlns:r="http://schemas.openxmlformats.org/officeDocument/2006/relationships" name="Категории" sheetId="5" r:id="Rcfa5c6b887b94e27"/>
    <x:sheet xmlns:r="http://schemas.openxmlformats.org/officeDocument/2006/relationships" name="Метод" sheetId="6" r:id="R2ef578a1a7c0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%&quot;"/>
    <x:numFmt numFmtId="201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53F5F"/>
      <x:name val="Carlito"/>
    </x:font>
    <x:font>
      <x:b/>
      <x:sz val="10"/>
      <x:color rgb="FFFFFFFF"/>
      <x:name val="Carlito"/>
    </x:font>
    <x:font>
      <x:sz val="9"/>
      <x:color rgb="FF243746"/>
      <x:name val="Carlito"/>
    </x:font>
    <x:font>
      <x:b/>
      <x:sz val="11"/>
      <x:color rgb="FFFFFFFF"/>
      <x:name val="Carlito"/>
    </x:font>
    <x:font>
      <x:b/>
      <x:sz val="11"/>
      <x:color rgb="FF243746"/>
      <x:name val="Carlito"/>
    </x:font>
    <x:font>
      <x:sz val="11"/>
      <x:color rgb="FF24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F5F"/>
      </x:patternFill>
    </x:fill>
    <x:fill>
      <x:patternFill patternType="solid">
        <x:fgColor rgb="FFDCEBF5"/>
      </x:patternFill>
    </x:fill>
    <x:fill>
      <x:patternFill patternType="solid">
        <x:fgColor rgb="FF2E6F95"/>
      </x:patternFill>
    </x:fill>
    <x:fill>
      <x:patternFill patternType="solid">
        <x:fgColor rgb="FFEFF6FA"/>
      </x:patternFill>
    </x:fill>
  </x:fills>
  <x:borders count="10">
    <x:border/>
    <x:border>
      <x:bottom style="thin">
        <x:color rgb="FFC9D9E4"/>
      </x:bottom>
    </x:border>
    <x:border>
      <x:top style="thin">
        <x:color rgb="FFC9D9E4"/>
      </x:top>
      <x:bottom style="thin">
        <x:color rgb="FFC9D9E4"/>
      </x:bottom>
    </x:border>
    <x:border>
      <x:top style="thin">
        <x:color rgb="FFC9D9E4"/>
      </x:top>
    </x:border>
    <x:border>
      <x:right style="thin">
        <x:color rgb="FFC9D9E4"/>
      </x:right>
      <x:bottom style="thin">
        <x:color rgb="FFC9D9E4"/>
      </x:bottom>
    </x:border>
    <x:border>
      <x:left style="thin">
        <x:color rgb="FFC9D9E4"/>
      </x:left>
      <x:bottom style="thin">
        <x:color rgb="FFC9D9E4"/>
      </x:bottom>
    </x:border>
    <x:border>
      <x:right style="thin">
        <x:color rgb="FFC9D9E4"/>
      </x:right>
      <x:top style="thin">
        <x:color rgb="FFC9D9E4"/>
      </x:top>
      <x:bottom style="thin">
        <x:color rgb="FFC9D9E4"/>
      </x:bottom>
    </x:border>
    <x:border>
      <x:left style="thin">
        <x:color rgb="FFC9D9E4"/>
      </x:left>
      <x:top style="thin">
        <x:color rgb="FFC9D9E4"/>
      </x:top>
      <x:bottom style="thin">
        <x:color rgb="FFC9D9E4"/>
      </x:bottom>
    </x:border>
    <x:border>
      <x:right style="thin">
        <x:color rgb="FFC9D9E4"/>
      </x:right>
      <x:top style="thin">
        <x:color rgb="FFC9D9E4"/>
      </x:top>
    </x:border>
    <x:border>
      <x:left style="thin">
        <x:color rgb="FFC9D9E4"/>
      </x:left>
      <x:top style="thin">
        <x:color rgb="FFC9D9E4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horizontal="center"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8" xfId="0" applyNumberFormat="1" applyFont="1" applyFill="1" applyBorder="1"/>
    <x:xf numFmtId="0" fontId="6" fillId="5" borderId="6" xfId="0" applyNumberFormat="1" applyFont="1" applyFill="1" applyBorder="1"/>
    <x:xf numFmtId="0" fontId="6" fillId="5" borderId="8" xfId="0" applyNumberFormat="1" applyFont="1" applyFill="1" applyBorder="1"/>
    <x:xf numFmtId="0" fontId="0" fillId="0" borderId="7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horizontal="right"/>
    </x:xf>
    <x:xf numFmtId="0" fontId="7" fillId="0" borderId="2" xfId="0" applyNumberFormat="1" applyFont="1" applyFill="1" applyBorder="1" applyAlignment="1">
      <x:alignment horizontal="right"/>
    </x:xf>
    <x:xf numFmtId="0" fontId="7" fillId="0" borderId="3" xfId="0" applyNumberFormat="1" applyFont="1" applyFill="1" applyBorder="1" applyAlignment="1">
      <x:alignment horizontal="right"/>
    </x:xf>
    <x:xf numFmtId="201" fontId="7" fillId="0" borderId="1" xfId="0" applyNumberFormat="1" applyFont="1" applyFill="1" applyBorder="1" applyAlignment="1">
      <x:alignment horizontal="right"/>
    </x:xf>
    <x:xf numFmtId="201" fontId="7" fillId="0" borderId="2" xfId="0" applyNumberFormat="1" applyFont="1" applyFill="1" applyBorder="1" applyAlignment="1">
      <x:alignment horizontal="right"/>
    </x:xf>
    <x:xf numFmtId="201" fontId="7" fillId="0" borderId="3" xfId="0" applyNumberFormat="1" applyFont="1" applyFill="1" applyBorder="1" applyAlignment="1">
      <x:alignment horizontal="right"/>
    </x:xf>
    <x:xf numFmtId="0" fontId="7" fillId="0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1F5E2B"/>
      </x:font>
      <x:fill>
        <x:patternFill>
          <x:bgColor rgb="FFD9EFD8"/>
        </x:patternFill>
      </x:fill>
    </x:dxf>
    <x:dxf>
      <x:font>
        <x:b/>
        <x:color rgb="FF366A3C"/>
      </x:font>
      <x:fill>
        <x:patternFill>
          <x:bgColor rgb="FFEAF5E9"/>
        </x:patternFill>
      </x:fill>
    </x:dxf>
    <x:dxf>
      <x:font>
        <x:b/>
        <x:color rgb="FF7A5A00"/>
      </x:font>
      <x:fill>
        <x:patternFill>
          <x:bgColor rgb="FFFFF1C7"/>
        </x:patternFill>
      </x:fill>
    </x:dxf>
    <x:dxf>
      <x:font>
        <x:b/>
        <x:color rgb="FF8A2430"/>
      </x:font>
      <x:fill>
        <x:patternFill>
          <x:bgColor rgb="FFF8D7DA"/>
        </x:patternFill>
      </x:fill>
    </x:dxf>
    <x:dxf>
      <x:font>
        <x:b/>
        <x:color rgb="FF1F5E2B"/>
      </x:font>
      <x:fill>
        <x:patternFill>
          <x:bgColor rgb="FFD9EFD8"/>
        </x:patternFill>
      </x:fill>
    </x:dxf>
    <x:dxf>
      <x:font>
        <x:b/>
        <x:color rgb="FF366A3C"/>
      </x:font>
      <x:fill>
        <x:patternFill>
          <x:bgColor rgb="FFEAF5E9"/>
        </x:patternFill>
      </x:fill>
    </x:dxf>
    <x:dxf>
      <x:font>
        <x:b/>
        <x:color rgb="FF7A5A00"/>
      </x:font>
      <x:fill>
        <x:patternFill>
          <x:bgColor rgb="FFFFF1C7"/>
        </x:patternFill>
      </x:fill>
    </x:dxf>
    <x:dxf>
      <x:font>
        <x:b/>
        <x:color rgb="FF8A2430"/>
      </x:font>
      <x:fill>
        <x:patternFill>
          <x:bgColor rgb="FFF8D7DA"/>
        </x:patternFill>
      </x:fill>
    </x:dxf>
    <x:dxf>
      <x:font>
        <x:b/>
        <x:color rgb="FF1F5E2B"/>
      </x:font>
      <x:fill>
        <x:patternFill>
          <x:bgColor rgb="FFD9EFD8"/>
        </x:patternFill>
      </x:fill>
    </x:dxf>
    <x:dxf>
      <x:font>
        <x:b/>
        <x:color rgb="FF366A3C"/>
      </x:font>
      <x:fill>
        <x:patternFill>
          <x:bgColor rgb="FFEAF5E9"/>
        </x:patternFill>
      </x:fill>
    </x:dxf>
    <x:dxf>
      <x:font>
        <x:b/>
        <x:color rgb="FF7A5A00"/>
      </x:font>
      <x:fill>
        <x:patternFill>
          <x:bgColor rgb="FFFFF1C7"/>
        </x:patternFill>
      </x:fill>
    </x:dxf>
    <x:dxf>
      <x:font>
        <x:b/>
        <x:color rgb="FF8A2430"/>
      </x:font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4694ebf744f8c" /><Relationship Type="http://schemas.openxmlformats.org/officeDocument/2006/relationships/theme" Target="/xl/theme/theme1.xml" Id="R7133f20b5f3c44e6" /><Relationship Type="http://schemas.openxmlformats.org/officeDocument/2006/relationships/sharedStrings" Target="/xl/sharedStrings.xml" Id="Rfeef8e851fd24a9a" /><Relationship Type="http://schemas.openxmlformats.org/officeDocument/2006/relationships/worksheet" Target="/xl/worksheets/sheet1.xml" Id="R91468a877b8a49fa" /><Relationship Type="http://schemas.openxmlformats.org/officeDocument/2006/relationships/worksheet" Target="/xl/worksheets/sheet2.xml" Id="R9ffa400a513d4e72" /><Relationship Type="http://schemas.openxmlformats.org/officeDocument/2006/relationships/worksheet" Target="/xl/worksheets/sheet3.xml" Id="Rec3fe76842394a24" /><Relationship Type="http://schemas.openxmlformats.org/officeDocument/2006/relationships/worksheet" Target="/xl/worksheets/sheet4.xml" Id="R8dcb1b9cb51f405d" /><Relationship Type="http://schemas.openxmlformats.org/officeDocument/2006/relationships/worksheet" Target="/xl/worksheets/sheet5.xml" Id="Rcfa5c6b887b94e27" /><Relationship Type="http://schemas.openxmlformats.org/officeDocument/2006/relationships/worksheet" Target="/xl/worksheets/sheet6.xml" Id="R2ef578a1a7c04eca" /></Relationships>
</file>

<file path=xl/tables/table1.xml><?xml version="1.0" encoding="utf-8"?>
<x:table xmlns:x="http://schemas.openxmlformats.org/spreadsheetml/2006/main" id="1" name="AllMarketplaceTasks" displayName="AllMarketplaceTasks" ref="A4:T162" headerRowCount="1" totalsRowCount="0" totalsRowShown="0">
  <x:autoFilter ref="A4:T162"/>
  <x:tableColumns count="20">
    <x:tableColumn id="1" name="Ранг"/>
    <x:tableColumn id="2" name="Платформа"/>
    <x:tableColumn id="3" name="ID"/>
    <x:tableColumn id="4" name="Категория"/>
    <x:tableColumn id="5" name="Метч"/>
    <x:tableColumn id="6" name="Уровень метча"/>
    <x:tableColumn id="7" name="Статус"/>
    <x:tableColumn id="8" name="Тип"/>
    <x:tableColumn id="9" name="Задача"/>
    <x:tableColumn id="10" name="Краткое описание"/>
    <x:tableColumn id="11" name="Почему подходит"/>
    <x:tableColumn id="12" name="Пробелы и риски"/>
    <x:tableColumn id="13" name="Бюджет / ставка"/>
    <x:tableColumn id="14" name="Статус оплаты"/>
    <x:tableColumn id="15" name="Конкуренция"/>
    <x:tableColumn id="16" name="Опубликовано"/>
    <x:tableColumn id="17" name="Страна"/>
    <x:tableColumn id="18" name="Ссылка"/>
    <x:tableColumn id="19" name="Исходная категория"/>
    <x:tableColumn id="20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workTasks" displayName="UpworkTasks" ref="A4:T104" headerRowCount="1" totalsRowCount="0" totalsRowShown="0">
  <x:autoFilter ref="A4:T104"/>
  <x:tableColumns count="20">
    <x:tableColumn id="1" name="Ранг"/>
    <x:tableColumn id="2" name="Платформа"/>
    <x:tableColumn id="3" name="ID"/>
    <x:tableColumn id="4" name="Категория"/>
    <x:tableColumn id="5" name="Метч"/>
    <x:tableColumn id="6" name="Уровень метча"/>
    <x:tableColumn id="7" name="Статус"/>
    <x:tableColumn id="8" name="Тип"/>
    <x:tableColumn id="9" name="Задача"/>
    <x:tableColumn id="10" name="Краткое описание"/>
    <x:tableColumn id="11" name="Почему подходит"/>
    <x:tableColumn id="12" name="Пробелы и риски"/>
    <x:tableColumn id="13" name="Бюджет / ставка"/>
    <x:tableColumn id="14" name="Статус оплаты"/>
    <x:tableColumn id="15" name="Конкуренция"/>
    <x:tableColumn id="16" name="Опубликовано"/>
    <x:tableColumn id="17" name="Страна"/>
    <x:tableColumn id="18" name="Ссылка"/>
    <x:tableColumn id="19" name="Исходная категория"/>
    <x:tableColumn id="20" name="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Tasks" displayName="FlTasks" ref="A4:T62" headerRowCount="1" totalsRowCount="0" totalsRowShown="0">
  <x:autoFilter ref="A4:T62"/>
  <x:tableColumns count="20">
    <x:tableColumn id="1" name="Ранг"/>
    <x:tableColumn id="2" name="Платформа"/>
    <x:tableColumn id="3" name="ID"/>
    <x:tableColumn id="4" name="Категория"/>
    <x:tableColumn id="5" name="Метч"/>
    <x:tableColumn id="6" name="Уровень метча"/>
    <x:tableColumn id="7" name="Статус"/>
    <x:tableColumn id="8" name="Тип"/>
    <x:tableColumn id="9" name="Задача"/>
    <x:tableColumn id="10" name="Краткое описание"/>
    <x:tableColumn id="11" name="Почему подходит"/>
    <x:tableColumn id="12" name="Пробелы и риски"/>
    <x:tableColumn id="13" name="Бюджет / ставка"/>
    <x:tableColumn id="14" name="Статус оплаты"/>
    <x:tableColumn id="15" name="Конкуренция"/>
    <x:tableColumn id="16" name="Опубликовано"/>
    <x:tableColumn id="17" name="Страна"/>
    <x:tableColumn id="18" name="Ссылка"/>
    <x:tableColumn id="19" name="Исходная категория"/>
    <x:tableColumn id="20" name="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Summary" displayName="CategorySummary" ref="A5:E20" headerRowCount="1" totalsRowCount="0" totalsRowShown="0">
  <x:autoFilter ref="A5:E20"/>
  <x:tableColumns count="5">
    <x:tableColumn id="1" name="Категория"/>
    <x:tableColumn id="2" name="Всего"/>
    <x:tableColumn id="3" name="Upwork"/>
    <x:tableColumn id="4" name="FL.ru"/>
    <x:tableColumn id="5" name="Доля корпус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Table" displayName="MethodTable" ref="A5:B20" headerRowCount="1" totalsRowCount="0" totalsRowShown="0">
  <x:tableColumns count="2">
    <x:tableColumn id="1" name="Поле"/>
    <x:tableColumn id="2" name="Определ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e61529bd6443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726adab1e343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bb83c1c4344e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d80f885569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008b99533345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4" t="str">
        <x:v>Marketplace-корпус: 158 задач для Давида и Kora</x:v>
      </x:c>
      <x:c r="B1" s="4" t="str">
        <x:v>Marketplace-корпус: 158 задач для Давида и Kora</x:v>
      </x:c>
      <x:c r="C1" s="4" t="str">
        <x:v>Marketplace-корпус: 158 задач для Давида и Kora</x:v>
      </x:c>
      <x:c r="D1" s="4" t="str">
        <x:v>Marketplace-корпус: 158 задач для Давида и Kora</x:v>
      </x:c>
      <x:c r="E1" s="4" t="str">
        <x:v>Marketplace-корпус: 158 задач для Давида и Kora</x:v>
      </x:c>
      <x:c r="F1" s="4" t="str">
        <x:v>Marketplace-корпус: 158 задач для Давида и Kora</x:v>
      </x:c>
      <x:c r="G1" s="4" t="str">
        <x:v>Marketplace-корпус: 158 задач для Давида и Kora</x:v>
      </x:c>
      <x:c r="H1" s="4" t="str">
        <x:v>Marketplace-корпус: 158 задач для Давида и Kora</x:v>
      </x:c>
    </x:row>
    <x:row r="2" ht="24" customHeight="1">
      <x:c r="A2" s="4" t="str">
        <x:v>Marketplace-корпус: 158 задач для Давида и Kora</x:v>
      </x:c>
      <x:c r="B2" s="4" t="str">
        <x:v>Marketplace-корпус: 158 задач для Давида и Kora</x:v>
      </x:c>
      <x:c r="C2" s="4" t="str">
        <x:v>Marketplace-корпус: 158 задач для Давида и Kora</x:v>
      </x:c>
      <x:c r="D2" s="4" t="str">
        <x:v>Marketplace-корпус: 158 задач для Давида и Kora</x:v>
      </x:c>
      <x:c r="E2" s="4" t="str">
        <x:v>Marketplace-корпус: 158 задач для Давида и Kora</x:v>
      </x:c>
      <x:c r="F2" s="4" t="str">
        <x:v>Marketplace-корпус: 158 задач для Давида и Kora</x:v>
      </x:c>
      <x:c r="G2" s="4" t="str">
        <x:v>Marketplace-корпус: 158 задач для Давида и Kora</x:v>
      </x:c>
      <x:c r="H2" s="4" t="str">
        <x:v>Marketplace-корпус: 158 задач для Давида и Kora</x:v>
      </x:c>
    </x:row>
    <x:row r="3" ht="34" customHeight="1">
      <x:c r="A3" s="9" t="str">
        <x:v>Полный список разбит по категориям и отсортирован по общему метчу для Давида. 100% не присвоено ни одной карточке, потому что у каждой есть хотя бы один существенный пробел.</x:v>
      </x:c>
      <x:c r="B3" s="9"/>
      <x:c r="C3" s="9"/>
      <x:c r="D3" s="9"/>
      <x:c r="E3" s="9"/>
      <x:c r="F3" s="9"/>
      <x:c r="G3" s="9"/>
      <x:c r="H3" s="9"/>
    </x:row>
    <x:row r="5">
      <x:c r="A5" s="39" t="str">
        <x:v>Метрика</x:v>
      </x:c>
      <x:c r="B5" s="40" t="str">
        <x:v>Значение</x:v>
      </x:c>
      <x:c r="D5" s="39" t="str">
        <x:v>Диапазон метча</x:v>
      </x:c>
      <x:c r="E5" s="40" t="str">
        <x:v>Карточек</x:v>
      </x:c>
    </x:row>
    <x:row r="6">
      <x:c r="A6" s="43" t="str">
        <x:v>Всего карточек</x:v>
      </x:c>
      <x:c r="B6" s="45" t="n">
        <x:f>COUNTA('Все задачи'!$A$5:$A$162)</x:f>
        <x:v>158</x:v>
      </x:c>
      <x:c r="D6" s="43" t="str">
        <x:v>100%</x:v>
      </x:c>
      <x:c r="E6" s="45" t="n">
        <x:f>COUNTIF('Все задачи'!$E$5:$E$162,100)</x:f>
        <x:v>0</x:v>
      </x:c>
    </x:row>
    <x:row r="7">
      <x:c r="A7" s="43" t="str">
        <x:v>Upwork</x:v>
      </x:c>
      <x:c r="B7" s="45" t="n">
        <x:f>COUNTIF('Все задачи'!$B$5:$B$162,"Upwork")</x:f>
        <x:v>100</x:v>
      </x:c>
      <x:c r="D7" s="43" t="str">
        <x:v>95-99%</x:v>
      </x:c>
      <x:c r="E7" s="45" t="n">
        <x:f>COUNTIFS('Все задачи'!$E$5:$E$162,"&gt;=95",'Все задачи'!$E$5:$E$162,"&lt;=99")</x:f>
        <x:v>4</x:v>
      </x:c>
    </x:row>
    <x:row r="8">
      <x:c r="A8" s="43" t="str">
        <x:v>FL.ru</x:v>
      </x:c>
      <x:c r="B8" s="45" t="n">
        <x:f>COUNTIF('Все задачи'!$B$5:$B$162,"FL.ru")</x:f>
        <x:v>58</x:v>
      </x:c>
      <x:c r="D8" s="43" t="str">
        <x:v>90-94%</x:v>
      </x:c>
      <x:c r="E8" s="45" t="n">
        <x:f>COUNTIFS('Все задачи'!$E$5:$E$162,"&gt;=90",'Все задачи'!$E$5:$E$162,"&lt;=94")</x:f>
        <x:v>17</x:v>
      </x:c>
    </x:row>
    <x:row r="9">
      <x:c r="A9" s="43" t="str">
        <x:v>Максимальный общий метч</x:v>
      </x:c>
      <x:c r="B9" s="47" t="n">
        <x:f>MAX('Все задачи'!$E$5:$E$162)</x:f>
        <x:v>95</x:v>
      </x:c>
      <x:c r="D9" s="43" t="str">
        <x:v>80-89%</x:v>
      </x:c>
      <x:c r="E9" s="45" t="n">
        <x:f>COUNTIFS('Все задачи'!$E$5:$E$162,"&gt;=80",'Все задачи'!$E$5:$E$162,"&lt;=89")</x:f>
        <x:v>28</x:v>
      </x:c>
    </x:row>
    <x:row r="10">
      <x:c r="A10" s="43" t="str">
        <x:v>Ровно 100%</x:v>
      </x:c>
      <x:c r="B10" s="45" t="n">
        <x:f>COUNTIF('Все задачи'!$E$5:$E$162,100)</x:f>
        <x:v>0</x:v>
      </x:c>
      <x:c r="D10" s="43" t="str">
        <x:v>70-79%</x:v>
      </x:c>
      <x:c r="E10" s="45" t="n">
        <x:f>COUNTIFS('Все задачи'!$E$5:$E$162,"&gt;=70",'Все задачи'!$E$5:$E$162,"&lt;=79")</x:f>
        <x:v>34</x:v>
      </x:c>
    </x:row>
    <x:row r="11">
      <x:c r="A11" s="43" t="str">
        <x:v>95% и выше</x:v>
      </x:c>
      <x:c r="B11" s="45" t="n">
        <x:f>COUNTIF('Все задачи'!$E$5:$E$162,"&gt;=95")</x:f>
        <x:v>4</x:v>
      </x:c>
      <x:c r="D11" s="43" t="str">
        <x:v>60-69%</x:v>
      </x:c>
      <x:c r="E11" s="45" t="n">
        <x:f>COUNTIFS('Все задачи'!$E$5:$E$162,"&gt;=60",'Все задачи'!$E$5:$E$162,"&lt;=69")</x:f>
        <x:v>26</x:v>
      </x:c>
    </x:row>
    <x:row r="12">
      <x:c r="A12" s="43" t="str">
        <x:v>90% и выше</x:v>
      </x:c>
      <x:c r="B12" s="45" t="n">
        <x:f>COUNTIF('Все задачи'!$E$5:$E$162,"&gt;=90")</x:f>
        <x:v>21</x:v>
      </x:c>
      <x:c r="D12" s="44" t="str">
        <x:v>0-59%</x:v>
      </x:c>
      <x:c r="E12" s="46" t="n">
        <x:f>COUNTIF('Все задачи'!$E$5:$E$162,"&lt;60")</x:f>
        <x:v>49</x:v>
      </x:c>
    </x:row>
    <x:row r="13">
      <x:c r="A13" s="43" t="str">
        <x:v>80% и выше</x:v>
      </x:c>
      <x:c r="B13" s="45" t="n">
        <x:f>COUNTIF('Все задачи'!$E$5:$E$162,"&gt;=80")</x:f>
        <x:v>49</x:v>
      </x:c>
    </x:row>
    <x:row r="14">
      <x:c r="A14" s="43" t="str">
        <x:v>Upwork: оплата подтверждена</x:v>
      </x:c>
      <x:c r="B14" s="45" t="n">
        <x:f>COUNTIFS('Все задачи'!$B$5:$B$162,"Upwork",'Все задачи'!$N$5:$N$162,"verified")</x:f>
        <x:v>72</x:v>
      </x:c>
    </x:row>
    <x:row r="15">
      <x:c r="A15" s="43" t="str">
        <x:v>FL.ru: открытые проекты</x:v>
      </x:c>
      <x:c r="B15" s="45" t="n">
        <x:f>COUNTIFS('Все задачи'!$B$5:$B$162,"FL.ru",'Все задачи'!$G$5:$G$162,"open",'Все задачи'!$H$5:$H$162,"project")</x:f>
        <x:v>31</x:v>
      </x:c>
    </x:row>
    <x:row r="16">
      <x:c r="A16" s="44" t="str">
        <x:v>FL.ru: исполнитель определён</x:v>
      </x:c>
      <x:c r="B16" s="46" t="n">
        <x:f>COUNTIFS('Все задачи'!$B$5:$B$162,"FL.ru",'Все задачи'!$G$5:$G$162,"assigned")</x:f>
        <x:v>6</x:v>
      </x:c>
    </x:row>
    <x:row r="19">
      <x:c r="A19" s="48" t="str">
        <x:v>Как читать метч</x:v>
      </x:c>
      <x:c r="B19" s="48" t="str">
        <x:v>Как читать метч</x:v>
      </x:c>
      <x:c r="C19" s="48" t="str">
        <x:v>Как читать метч</x:v>
      </x:c>
      <x:c r="D19" s="48" t="str">
        <x:v>Как читать метч</x:v>
      </x:c>
      <x:c r="E19" s="48" t="str">
        <x:v>Как читать метч</x:v>
      </x:c>
      <x:c r="F19" s="48" t="str">
        <x:v>Как читать метч</x:v>
      </x:c>
      <x:c r="G19" s="48" t="str">
        <x:v>Как читать метч</x:v>
      </x:c>
      <x:c r="H19" s="48" t="str">
        <x:v>Как читать метч</x:v>
      </x:c>
    </x:row>
    <x:row r="20" ht="24" customHeight="1">
      <x:c r="A20" s="52" t="str">
        <x:v>Метч для Давида - редакционная оценка общей пригодности: техническое пересечение с подтвержденным стеком, переносимость в Kora, scope, proof, экономика и competition gaps. Он не является вероятностью победы, оплаты или PMF. Оценку следует читать по диапазонам, а не как точный калиброванный процент. Поэтому четыре карточки с метчем 95% не означают 95-процентную вероятность продажи.</x:v>
      </x:c>
      <x:c r="B20" s="52"/>
      <x:c r="C20" s="52"/>
      <x:c r="D20" s="52"/>
      <x:c r="E20" s="52"/>
      <x:c r="F20" s="52"/>
      <x:c r="G20" s="52"/>
      <x:c r="H20" s="52"/>
    </x:row>
    <x:row r="21" ht="24" customHeight="1">
      <x:c r="A21" s="52"/>
      <x:c r="B21" s="52"/>
      <x:c r="C21" s="52"/>
      <x:c r="D21" s="52"/>
      <x:c r="E21" s="52"/>
      <x:c r="F21" s="52"/>
      <x:c r="G21" s="52"/>
      <x:c r="H21" s="52"/>
    </x:row>
    <x:row r="22" ht="24" customHeight="1">
      <x:c r="A22" s="52"/>
      <x:c r="B22" s="52"/>
      <x:c r="C22" s="52"/>
      <x:c r="D22" s="52"/>
      <x:c r="E22" s="52"/>
      <x:c r="F22" s="52"/>
      <x:c r="G22" s="52"/>
      <x:c r="H22" s="52"/>
    </x:row>
    <x:row r="24">
      <x:c r="A24" s="48" t="str">
        <x:v>Первый практический вывод</x:v>
      </x:c>
      <x:c r="B24" s="48" t="str">
        <x:v>Первый практический вывод</x:v>
      </x:c>
      <x:c r="C24" s="48" t="str">
        <x:v>Первый практический вывод</x:v>
      </x:c>
      <x:c r="D24" s="48" t="str">
        <x:v>Первый практический вывод</x:v>
      </x:c>
      <x:c r="E24" s="48" t="str">
        <x:v>Первый практический вывод</x:v>
      </x:c>
      <x:c r="F24" s="48" t="str">
        <x:v>Первый практический вывод</x:v>
      </x:c>
      <x:c r="G24" s="48" t="str">
        <x:v>Первый практический вывод</x:v>
      </x:c>
      <x:c r="H24" s="48" t="str">
        <x:v>Первый практический вывод</x:v>
      </x:c>
    </x:row>
    <x:row r="25" ht="24" customHeight="1">
      <x:c r="A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B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C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D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E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F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G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H25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</x:row>
    <x:row r="26" ht="24" customHeight="1">
      <x:c r="A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B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C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D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E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F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G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H26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</x:row>
    <x:row r="27" ht="24" customHeight="1">
      <x:c r="A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B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C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D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E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F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G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H27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</x:row>
    <x:row r="28" ht="24" customHeight="1">
      <x:c r="A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B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C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D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E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F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G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  <x:c r="H28" s="52" t="str">
        <x:v>Самый повторяемый кластер: входящий сигнал -&gt; классификация -&gt; CRM или таблица -&gt; следующий шаг -&gt; human approval -&gt; журнал. На Upwork технически сильные задачи перегреты предложениями. На FL.ru есть прямые CRM-задачи, но больше вакансий, контента и слабых бюджетов. Начинать нужно не с универсальной AI-автоматизации, а с одного платного и проверяемого workflow.</x:v>
      </x:c>
    </x:row>
  </x:sheetData>
  <x:mergeCells>
    <x:mergeCell ref="A1:H2"/>
    <x:mergeCell ref="A19:H19"/>
    <x:mergeCell ref="A24:H24"/>
    <x:mergeCell ref="A25:H28"/>
    <x:mergeCell ref="A3:H3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3" hidden="0" customWidth="1"/>
    <x:col min="4" max="4" width="27" hidden="0" customWidth="1"/>
    <x:col min="5" max="5" width="9" hidden="0" customWidth="1"/>
    <x:col min="6" max="6" width="25" hidden="0" customWidth="1"/>
    <x:col min="7" max="7" width="18" hidden="0" customWidth="1"/>
    <x:col min="8" max="8" width="14" hidden="0" customWidth="1"/>
    <x:col min="9" max="9" width="38" hidden="0" customWidth="1"/>
    <x:col min="10" max="10" width="58" hidden="0" customWidth="1"/>
    <x:col min="11" max="11" width="54" hidden="0" customWidth="1"/>
    <x:col min="12" max="12" width="50" hidden="0" customWidth="1"/>
    <x:col min="13" max="13" width="18" hidden="0" customWidth="1"/>
    <x:col min="14" max="14" width="22" hidden="0" customWidth="1"/>
    <x:col min="15" max="15" width="14" hidden="0" customWidth="1"/>
    <x:col min="16" max="16" width="16" hidden="0" customWidth="1"/>
    <x:col min="17" max="17" width="18" hidden="0" customWidth="1"/>
    <x:col min="18" max="18" width="54" hidden="0" customWidth="1"/>
    <x:col min="19" max="19" width="31" hidden="0" customWidth="1"/>
    <x:col min="20" max="20" width="28" hidden="0" customWidth="1"/>
  </x:cols>
  <x:sheetData>
    <x:row r="1" ht="24" customHeight="1">
      <x:c r="A1" s="4" t="str">
        <x:v>158 найденных задач: Upwork + FL.ru</x:v>
      </x:c>
      <x:c r="B1" s="4" t="str">
        <x:v>158 найденных задач: Upwork + FL.ru</x:v>
      </x:c>
      <x:c r="C1" s="4" t="str">
        <x:v>158 найденных задач: Upwork + FL.ru</x:v>
      </x:c>
      <x:c r="D1" s="4" t="str">
        <x:v>158 найденных задач: Upwork + FL.ru</x:v>
      </x:c>
      <x:c r="E1" s="4" t="str">
        <x:v>158 найденных задач: Upwork + FL.ru</x:v>
      </x:c>
      <x:c r="F1" s="4" t="str">
        <x:v>158 найденных задач: Upwork + FL.ru</x:v>
      </x:c>
      <x:c r="G1" s="4" t="str">
        <x:v>158 найденных задач: Upwork + FL.ru</x:v>
      </x:c>
      <x:c r="H1" s="4" t="str">
        <x:v>158 найденных задач: Upwork + FL.ru</x:v>
      </x:c>
      <x:c r="I1" s="4" t="str">
        <x:v>158 найденных задач: Upwork + FL.ru</x:v>
      </x:c>
      <x:c r="J1" s="4" t="str">
        <x:v>158 найденных задач: Upwork + FL.ru</x:v>
      </x:c>
      <x:c r="K1" s="4" t="str">
        <x:v>158 найденных задач: Upwork + FL.ru</x:v>
      </x:c>
      <x:c r="L1" s="4" t="str">
        <x:v>158 найденных задач: Upwork + FL.ru</x:v>
      </x:c>
      <x:c r="M1" s="4" t="str">
        <x:v>158 найденных задач: Upwork + FL.ru</x:v>
      </x:c>
      <x:c r="N1" s="4" t="str">
        <x:v>158 найденных задач: Upwork + FL.ru</x:v>
      </x:c>
      <x:c r="O1" s="4" t="str">
        <x:v>158 найденных задач: Upwork + FL.ru</x:v>
      </x:c>
      <x:c r="P1" s="4" t="str">
        <x:v>158 найденных задач: Upwork + FL.ru</x:v>
      </x:c>
      <x:c r="Q1" s="4" t="str">
        <x:v>158 найденных задач: Upwork + FL.ru</x:v>
      </x:c>
      <x:c r="R1" s="4" t="str">
        <x:v>158 найденных задач: Upwork + FL.ru</x:v>
      </x:c>
      <x:c r="S1" s="4" t="str">
        <x:v>158 найденных задач: Upwork + FL.ru</x:v>
      </x:c>
      <x:c r="T1" s="4" t="str">
        <x:v>158 найденных задач: Upwork + FL.ru</x:v>
      </x:c>
    </x:row>
    <x:row r="2" ht="24" customHeight="1">
      <x:c r="A2" s="4" t="str">
        <x:v>158 найденных задач: Upwork + FL.ru</x:v>
      </x:c>
      <x:c r="B2" s="4" t="str">
        <x:v>158 найденных задач: Upwork + FL.ru</x:v>
      </x:c>
      <x:c r="C2" s="4" t="str">
        <x:v>158 найденных задач: Upwork + FL.ru</x:v>
      </x:c>
      <x:c r="D2" s="4" t="str">
        <x:v>158 найденных задач: Upwork + FL.ru</x:v>
      </x:c>
      <x:c r="E2" s="4" t="str">
        <x:v>158 найденных задач: Upwork + FL.ru</x:v>
      </x:c>
      <x:c r="F2" s="4" t="str">
        <x:v>158 найденных задач: Upwork + FL.ru</x:v>
      </x:c>
      <x:c r="G2" s="4" t="str">
        <x:v>158 найденных задач: Upwork + FL.ru</x:v>
      </x:c>
      <x:c r="H2" s="4" t="str">
        <x:v>158 найденных задач: Upwork + FL.ru</x:v>
      </x:c>
      <x:c r="I2" s="4" t="str">
        <x:v>158 найденных задач: Upwork + FL.ru</x:v>
      </x:c>
      <x:c r="J2" s="4" t="str">
        <x:v>158 найденных задач: Upwork + FL.ru</x:v>
      </x:c>
      <x:c r="K2" s="4" t="str">
        <x:v>158 найденных задач: Upwork + FL.ru</x:v>
      </x:c>
      <x:c r="L2" s="4" t="str">
        <x:v>158 найденных задач: Upwork + FL.ru</x:v>
      </x:c>
      <x:c r="M2" s="4" t="str">
        <x:v>158 найденных задач: Upwork + FL.ru</x:v>
      </x:c>
      <x:c r="N2" s="4" t="str">
        <x:v>158 найденных задач: Upwork + FL.ru</x:v>
      </x:c>
      <x:c r="O2" s="4" t="str">
        <x:v>158 найденных задач: Upwork + FL.ru</x:v>
      </x:c>
      <x:c r="P2" s="4" t="str">
        <x:v>158 найденных задач: Upwork + FL.ru</x:v>
      </x:c>
      <x:c r="Q2" s="4" t="str">
        <x:v>158 найденных задач: Upwork + FL.ru</x:v>
      </x:c>
      <x:c r="R2" s="4" t="str">
        <x:v>158 найденных задач: Upwork + FL.ru</x:v>
      </x:c>
      <x:c r="S2" s="4" t="str">
        <x:v>158 найденных задач: Upwork + FL.ru</x:v>
      </x:c>
      <x:c r="T2" s="4" t="str">
        <x:v>158 найденных задач: Upwork + FL.ru</x:v>
      </x:c>
    </x:row>
    <x:row r="3" ht="34" customHeight="1">
      <x:c r="A3" s="9" t="str">
        <x:v>Сортировка по общему редакционному метчу для Давида от максимального к минимальному. Честных 100% нет: максимум 95%. Метч нужно читать по диапазонам, а не как вероятность выиграть заказ.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</x:row>
    <x:row r="4" ht="36" customHeight="1">
      <x:c r="A4" s="14" t="str">
        <x:v>Ранг</x:v>
      </x:c>
      <x:c r="B4" s="14" t="str">
        <x:v>Платформа</x:v>
      </x:c>
      <x:c r="C4" s="14" t="str">
        <x:v>ID</x:v>
      </x:c>
      <x:c r="D4" s="14" t="str">
        <x:v>Категория</x:v>
      </x:c>
      <x:c r="E4" s="14" t="str">
        <x:v>Метч для Давида</x:v>
      </x:c>
      <x:c r="F4" s="14" t="str">
        <x:v>Метод / уровень</x:v>
      </x:c>
      <x:c r="G4" s="14" t="str">
        <x:v>Статус</x:v>
      </x:c>
      <x:c r="H4" s="14" t="str">
        <x:v>Тип</x:v>
      </x:c>
      <x:c r="I4" s="14" t="str">
        <x:v>Задача</x:v>
      </x:c>
      <x:c r="J4" s="14" t="str">
        <x:v>Краткое описание</x:v>
      </x:c>
      <x:c r="K4" s="14" t="str">
        <x:v>Почему подходит</x:v>
      </x:c>
      <x:c r="L4" s="14" t="str">
        <x:v>Пробелы и риски</x:v>
      </x:c>
      <x:c r="M4" s="14" t="str">
        <x:v>Бюджет / ставка</x:v>
      </x:c>
      <x:c r="N4" s="14" t="str">
        <x:v>Статус оплаты</x:v>
      </x:c>
      <x:c r="O4" s="14" t="str">
        <x:v>Конкуренция</x:v>
      </x:c>
      <x:c r="P4" s="14" t="str">
        <x:v>Опубликовано</x:v>
      </x:c>
      <x:c r="Q4" s="14" t="str">
        <x:v>Страна</x:v>
      </x:c>
      <x:c r="R4" s="14" t="str">
        <x:v>Ссылка</x:v>
      </x:c>
      <x:c r="S4" s="14" t="str">
        <x:v>Исходная категория</x:v>
      </x:c>
      <x:c r="T4" s="14" t="str">
        <x:v>Источник</x:v>
      </x:c>
    </x:row>
    <x:row r="5" ht="48" customHeight="1">
      <x:c r="A5" s="25" t="n">
        <x:v>1</x:v>
      </x:c>
      <x:c r="B5" s="22" t="str">
        <x:v>FL.ru</x:v>
      </x:c>
      <x:c r="C5" s="22" t="str">
        <x:v>5515592</x:v>
      </x:c>
      <x:c r="D5" s="22" t="str">
        <x:v>Чат-боты, поддержка и CRM</x:v>
      </x:c>
      <x:c r="E5" s="28" t="n">
        <x:v>95</x:v>
      </x:c>
      <x:c r="F5" s="22" t="str">
        <x:v>95-99% - почти идеальное</x:v>
      </x:c>
      <x:c r="G5" s="22" t="str">
        <x:v>open</x:v>
      </x:c>
      <x:c r="H5" s="22" t="str">
        <x:v>project</x:v>
      </x:c>
      <x:c r="I5" s="22" t="str">
        <x:v>Внедрение ИИ-агента для автоматизации переписок с клиентами</x:v>
      </x:c>
      <x:c r="J5" s="22" t="str">
        <x:v>Агент для переписки в мессенджерах и по email с интеграцией в коробочный Битрикс24.</x:v>
      </x:c>
      <x:c r="K5" s="22" t="str">
        <x:v>Сильный метч с Kora: существующий CRM-контур, клиентские сообщения и управляемые действия можно сузить до одного проверяемого workflow.</x:v>
      </x:c>
      <x:c r="L5" s="22" t="str">
        <x:v>26 ответов; бюджет не указан; не раскрыты privacy, доступы к CRM и human approval.</x:v>
      </x:c>
      <x:c r="M5" s="22" t="str">
        <x:v>по договоренности</x:v>
      </x:c>
      <x:c r="N5" s="22" t="str">
        <x:v>не показано</x:v>
      </x:c>
      <x:c r="O5" s="25" t="n">
        <x:v>26</x:v>
      </x:c>
      <x:c r="P5" s="22" t="str">
        <x:v>не сохранено</x:v>
      </x:c>
      <x:c r="Q5" s="22" t="str">
        <x:v>RU</x:v>
      </x:c>
      <x:c r="R5" s="22" t="str">
        <x:v>https://www.fl.ru/projects/5515592/vnedrenie-ii-agenta-dlya-avtomatizatsii-perepisok-s-klientami.html</x:v>
      </x:c>
      <x:c r="S5" s="22" t="str">
        <x:v>Бизнес-автоматизация / CRM</x:v>
      </x:c>
      <x:c r="T5" s="22" t="str">
        <x:v>FL.ru AI category</x:v>
      </x:c>
    </x:row>
    <x:row r="6" ht="48" customHeight="1">
      <x:c r="A6" s="26" t="n">
        <x:v>2</x:v>
      </x:c>
      <x:c r="B6" s="23" t="str">
        <x:v>Upwork</x:v>
      </x:c>
      <x:c r="C6" s="23" t="str">
        <x:v>~022079500683280398086</x:v>
      </x:c>
      <x:c r="D6" s="23" t="str">
        <x:v>Автоматизация процессов и интеграции</x:v>
      </x:c>
      <x:c r="E6" s="29" t="n">
        <x:v>95</x:v>
      </x:c>
      <x:c r="F6" s="23" t="str">
        <x:v>95-99% - почти идеальное</x:v>
      </x:c>
      <x:c r="G6" s="23" t="str">
        <x:v>captured - recheck</x:v>
      </x:c>
      <x:c r="H6" s="23" t="str">
        <x:v>hourly</x:v>
      </x:c>
      <x:c r="I6" s="23" t="str">
        <x:v>Agentic AI Automation Engineer</x:v>
      </x:c>
      <x:c r="J6" s="23" t="str">
        <x:v>Нужно превратить ручной прием лидов, обновление CRM и follow-up в надежный агентный процесс: получить данные из формы, email или Slack, извлечь и классифицировать их, обновить CRM, отправить сводку и передать сомнительные случаи человеку. В MVP нужны n8n или аналоги, API, RAG, логи, повторные попытки и guardrails.</x:v>
      </x:c>
      <x:c r="K6" s="23" t="str">
        <x:v>Почти идеальное совпадение с Kora: TypeScript допустим, прямо требуются AI-агенты, OpenAI или Claude, n8n, API, RAG, human-in-the-loop и production-надежность. Задача хорошо описана, ставка $40-75/час, клиент подтвердил оплату и имеет историю.</x:v>
      </x:c>
      <x:c r="L6" s="23" t="str">
        <x:v>Нужно показать 2-3 реально запущенных похожих проекта; уже 50+ откликов. В метаданных указано 30+ часов в неделю, а в описании 10-20, это стоит уточнить.</x:v>
      </x:c>
      <x:c r="M6" s="23" t="str">
        <x:v>Hourly: $40.00 - $75.00</x:v>
      </x:c>
      <x:c r="N6" s="23" t="str">
        <x:v>verified</x:v>
      </x:c>
      <x:c r="O6" s="26" t="str">
        <x:v>50+</x:v>
      </x:c>
      <x:c r="P6" s="23" t="str">
        <x:v>last week</x:v>
      </x:c>
      <x:c r="Q6" s="23" t="str">
        <x:v>United Arab Emirates</x:v>
      </x:c>
      <x:c r="R6" s="23" t="str">
        <x:v>https://www.upwork.com/jobs/span-class-highlight-Agentic-span-span-class-highlight-span-span-class-highlight-Automation-span-Engineer_~022079500683280398086/?referrer_url_path=/nx/search/jobs/</x:v>
      </x:c>
      <x:c r="S6" s="23" t="str">
        <x:v>Автоматизация процессов и интеграции</x:v>
      </x:c>
      <x:c r="T6" s="23" t="str">
        <x:v>search:AI agent automation:page4</x:v>
      </x:c>
    </x:row>
    <x:row r="7" ht="48" customHeight="1">
      <x:c r="A7" s="26" t="n">
        <x:v>3</x:v>
      </x:c>
      <x:c r="B7" s="23" t="str">
        <x:v>Upwork</x:v>
      </x:c>
      <x:c r="C7" s="23" t="str">
        <x:v>~022082094672185738150</x:v>
      </x:c>
      <x:c r="D7" s="23" t="str">
        <x:v>Автоматизация процессов и интеграции</x:v>
      </x:c>
      <x:c r="E7" s="29" t="n">
        <x:v>95</x:v>
      </x:c>
      <x:c r="F7" s="23" t="str">
        <x:v>95-99% - почти идеальное</x:v>
      </x:c>
      <x:c r="G7" s="23" t="str">
        <x:v>captured - recheck</x:v>
      </x:c>
      <x:c r="H7" s="23" t="str">
        <x:v>hourly</x:v>
      </x:c>
      <x:c r="I7" s="23" t="str">
        <x:v>AI Agent / CRM System Setup</x:v>
      </x:c>
      <x:c r="J7" s="23" t="str">
        <x:v>Нужно автоматизировать follow-up отдела развития через Gmail, Monday и Slack: отслеживать ответы, классифицировать их с помощью AI, хранить историю и следующий контакт, а затем присылать ответственным напоминание, резюме и черновик письма. Система должна исключать дубли и контакты с запретом дальнейшего общения.</x:v>
      </x:c>
      <x:c r="K7" s="23" t="str">
        <x:v>Практически идеальное совпадение с Kora: входящие коммуникации, AI-классификация, CRM-состояние, правила, напоминания и подготовка действия для человека. Scope конкретный, клиент подтвержден, рейтинг 4,9 и более $60K расходов.</x:v>
      </x:c>
      <x:c r="L7" s="23" t="str">
        <x:v>Уже 50+ предложений, а ставка ограничена $22-$29. Не указан текущий способ интеграции Gmail, Monday и Slack, поэтому доступы, лимиты API и точный объем придется уточнить.</x:v>
      </x:c>
      <x:c r="M7" s="23" t="str">
        <x:v>Hourly: $22-$29</x:v>
      </x:c>
      <x:c r="N7" s="23" t="str">
        <x:v>verified</x:v>
      </x:c>
      <x:c r="O7" s="26" t="str">
        <x:v>50+</x:v>
      </x:c>
      <x:c r="P7" s="23" t="str">
        <x:v>4 hours ago</x:v>
      </x:c>
      <x:c r="Q7" s="23" t="str">
        <x:v>United Kingdom</x:v>
      </x:c>
      <x:c r="R7" s="23" t="str">
        <x:v>https://www.upwork.com/jobs/Agent-CRM-System-Setup_~022082094672185738150/?referrer_url_path=find_work_home</x:v>
      </x:c>
      <x:c r="S7" s="23" t="str">
        <x:v>Автоматизация процессов и интеграции</x:v>
      </x:c>
      <x:c r="T7" s="23" t="str">
        <x:v>best_matches</x:v>
      </x:c>
    </x:row>
    <x:row r="8" ht="48" customHeight="1">
      <x:c r="A8" s="26" t="n">
        <x:v>4</x:v>
      </x:c>
      <x:c r="B8" s="23" t="str">
        <x:v>Upwork</x:v>
      </x:c>
      <x:c r="C8" s="23" t="str">
        <x:v>~022069443845701876220</x:v>
      </x:c>
      <x:c r="D8" s="23" t="str">
        <x:v>Чат-боты, поддержка и CRM</x:v>
      </x:c>
      <x:c r="E8" s="29" t="n">
        <x:v>95</x:v>
      </x:c>
      <x:c r="F8" s="23" t="str">
        <x:v>95-99% - почти идеальное</x:v>
      </x:c>
      <x:c r="G8" s="23" t="str">
        <x:v>captured - recheck</x:v>
      </x:c>
      <x:c r="H8" s="23" t="str">
        <x:v>hourly</x:v>
      </x:c>
      <x:c r="I8" s="23" t="str">
        <x:v>AI Automation Engineer: Build a Custom Claude Customer Service Agent</x:v>
      </x:c>
      <x:c r="J8" s="23" t="str">
        <x:v>Нужно создать production-агента поддержки на Claude, который понимает стиль команды, отвечает клиентам, работает с файлами и внутренними знаниями, отправляет email, взаимодействует с CRM и выполняет разрешенные workflow. Для чувствительных действий требуются MCP, контекст, эскалация и human-in-the-loop.</x:v>
      </x:c>
      <x:c r="K8" s="23" t="str">
        <x:v>Практически идеальное совпадение с Kora по Claude, MCP, tool use, CRM, knowledge retrieval, сообщениям, действиям и обязательному согласованию человеком. Scope конкретен, ставка $40-80, клиент подтвержден с рейтингом 5 и расходами свыше $3K.</x:v>
      </x:c>
      <x:c r="L8" s="23" t="str">
        <x:v>Заказчик требует доказанные production-кейсы клиентских коммуникаций и опыт MCP или автономных tool-use агентов. Уже подано более 50 заявок, поэтому потребуется очень предметный кейс и позиционирование.</x:v>
      </x:c>
      <x:c r="M8" s="23" t="str">
        <x:v>Hourly: $40.00 - $80.00</x:v>
      </x:c>
      <x:c r="N8" s="23" t="str">
        <x:v>verified</x:v>
      </x:c>
      <x:c r="O8" s="26" t="str">
        <x:v>50+</x:v>
      </x:c>
      <x:c r="P8" s="23" t="str">
        <x:v>last month</x:v>
      </x:c>
      <x:c r="Q8" s="23" t="str">
        <x:v>United Kingdom</x:v>
      </x:c>
      <x:c r="R8" s="23" t="str">
        <x:v>https://www.upwork.com/jobs/span-class-highlight-span-span-class-highlight-Automation-span-Engineer-Build-Custom-Claude-Customer-Service-span-class-highlight-Agent-span_~022069443845701876220/?referrer_url_path=/nx/search/jobs/</x:v>
      </x:c>
      <x:c r="S8" s="23" t="str">
        <x:v>Чат-боты, поддержка и CRM</x:v>
      </x:c>
      <x:c r="T8" s="23" t="str">
        <x:v>search:AI agent automation:page3</x:v>
      </x:c>
    </x:row>
    <x:row r="9" ht="48" customHeight="1">
      <x:c r="A9" s="26" t="n">
        <x:v>5</x:v>
      </x:c>
      <x:c r="B9" s="23" t="str">
        <x:v>FL.ru</x:v>
      </x:c>
      <x:c r="C9" s="23" t="str">
        <x:v>5514909</x:v>
      </x:c>
      <x:c r="D9" s="23" t="str">
        <x:v>Чат-боты, поддержка и CRM</x:v>
      </x:c>
      <x:c r="E9" s="29" t="n">
        <x:v>93</x:v>
      </x:c>
      <x:c r="F9" s="23" t="str">
        <x:v>90-94% - очень сильное</x:v>
      </x:c>
      <x:c r="G9" s="23" t="str">
        <x:v>open</x:v>
      </x:c>
      <x:c r="H9" s="23" t="str">
        <x:v>project</x:v>
      </x:c>
      <x:c r="I9" s="23" t="str">
        <x:v>Интеграция GPT и Битрикс для международной логистики</x:v>
      </x:c>
      <x:c r="J9" s="23" t="str">
        <x:v>AI-система для логистической компании на базе Bitrix24 и n8n.</x:v>
      </x:c>
      <x:c r="K9" s="23" t="str">
        <x:v>Сильный fit по Bitrix24, n8n, интеграциям и логистическому workflow, но исходный процесс нужно сузить до одного проверяемого действия.</x:v>
      </x:c>
      <x:c r="L9" s="23" t="str">
        <x:v>45 ответов; широкий scope, бюджет и acceptance criteria не определены; нужен узкий pilot.</x:v>
      </x:c>
      <x:c r="M9" s="23" t="str">
        <x:v>по договоренности</x:v>
      </x:c>
      <x:c r="N9" s="23" t="str">
        <x:v>не показано</x:v>
      </x:c>
      <x:c r="O9" s="26" t="n">
        <x:v>45</x:v>
      </x:c>
      <x:c r="P9" s="23" t="str">
        <x:v>не сохранено</x:v>
      </x:c>
      <x:c r="Q9" s="23" t="str">
        <x:v>RU</x:v>
      </x:c>
      <x:c r="R9" s="23" t="str">
        <x:v>https://www.fl.ru/projects/5514909/integratsiya-gpt-i-bitriks-dlya-mejdunarodnoy-logistiki-.html</x:v>
      </x:c>
      <x:c r="S9" s="23" t="str">
        <x:v>Бизнес-автоматизация / CRM</x:v>
      </x:c>
      <x:c r="T9" s="23" t="str">
        <x:v>FL.ru AI category</x:v>
      </x:c>
    </x:row>
    <x:row r="10" ht="48" customHeight="1">
      <x:c r="A10" s="26" t="n">
        <x:v>6</x:v>
      </x:c>
      <x:c r="B10" s="23" t="str">
        <x:v>FL.ru</x:v>
      </x:c>
      <x:c r="C10" s="23" t="str">
        <x:v>5513206</x:v>
      </x:c>
      <x:c r="D10" s="23" t="str">
        <x:v>Чат-боты, поддержка и CRM</x:v>
      </x:c>
      <x:c r="E10" s="29" t="n">
        <x:v>92</x:v>
      </x:c>
      <x:c r="F10" s="23" t="str">
        <x:v>90-94% - очень сильное</x:v>
      </x:c>
      <x:c r="G10" s="23" t="str">
        <x:v>open</x:v>
      </x:c>
      <x:c r="H10" s="23" t="str">
        <x:v>project</x:v>
      </x:c>
      <x:c r="I10" s="23" t="str">
        <x:v>AI агент</x:v>
      </x:c>
      <x:c r="J10" s="23" t="str">
        <x:v>Агент в Битрикс24 должен отслеживать открытые линии, разбирать файлы и работать с чатами.</x:v>
      </x:c>
      <x:c r="K10" s="23" t="str">
        <x:v>Сильный метч с Kora: существующий CRM-контур, клиентские сообщения и управляемые действия можно сузить до одного проверяемого workflow.</x:v>
      </x:c>
      <x:c r="L10" s="23" t="str">
        <x:v>17 ответов; доступ к чатам и файлам, персональные данные и human review требуют отдельной проверки.</x:v>
      </x:c>
      <x:c r="M10" s="23" t="str">
        <x:v>по договоренности</x:v>
      </x:c>
      <x:c r="N10" s="23" t="str">
        <x:v>не показано</x:v>
      </x:c>
      <x:c r="O10" s="26" t="n">
        <x:v>17</x:v>
      </x:c>
      <x:c r="P10" s="23" t="str">
        <x:v>не сохранено</x:v>
      </x:c>
      <x:c r="Q10" s="23" t="str">
        <x:v>RU</x:v>
      </x:c>
      <x:c r="R10" s="23" t="str">
        <x:v>https://www.fl.ru/projects/5513206/ai-agent.html</x:v>
      </x:c>
      <x:c r="S10" s="23" t="str">
        <x:v>Бизнес-автоматизация / CRM</x:v>
      </x:c>
      <x:c r="T10" s="23" t="str">
        <x:v>FL.ru AI category</x:v>
      </x:c>
    </x:row>
    <x:row r="11" ht="48" customHeight="1">
      <x:c r="A11" s="26" t="n">
        <x:v>7</x:v>
      </x:c>
      <x:c r="B11" s="23" t="str">
        <x:v>Upwork</x:v>
      </x:c>
      <x:c r="C11" s="23" t="str">
        <x:v>~022075311922210730379</x:v>
      </x:c>
      <x:c r="D11" s="23" t="str">
        <x:v>AI-агенты и оркестрация</x:v>
      </x:c>
      <x:c r="E11" s="29" t="n">
        <x:v>90</x:v>
      </x:c>
      <x:c r="F11" s="23" t="str">
        <x:v>90-94% - очень сильное</x:v>
      </x:c>
      <x:c r="G11" s="23" t="str">
        <x:v>captured - recheck</x:v>
      </x:c>
      <x:c r="H11" s="23" t="str">
        <x:v>hourly</x:v>
      </x:c>
      <x:c r="I11" s="23" t="str">
        <x:v>AI Automation Engineer — Build One Business-Ops AI Agent (Claude + n8n, RAG)</x:v>
      </x:c>
      <x:c r="J11" s="23" t="str">
        <x:v>Нужно сделать один ограниченный внутренний AI-агент, который каждое утро читает CRM и Google Sheets, использует RAG по внутренним документам и отправляет в Slack приоритетный список действий. Решение собирается на Claude и n8n, без автономных действий и с короткой документацией.</x:v>
      </x:c>
      <x:c r="K11" s="23" t="str">
        <x:v>Очень сильное совпадение по Claude, RAG, n8n, бизнес-приоритизации и review step; требование Python снижает fit относительно текущего Node/TypeScript evidence.</x:v>
      </x:c>
      <x:c r="L11" s="23" t="str">
        <x:v>Нужен убедительный живой пример, в требованиях указан Python, а у объявления уже 50+ предложений; необходимо подтвердить конкретную CRM и объем документов.</x:v>
      </x:c>
      <x:c r="M11" s="23" t="str">
        <x:v>Hourly: $20.00 - $30.00</x:v>
      </x:c>
      <x:c r="N11" s="23" t="str">
        <x:v>verified</x:v>
      </x:c>
      <x:c r="O11" s="26" t="str">
        <x:v>50+</x:v>
      </x:c>
      <x:c r="P11" s="23" t="str">
        <x:v>3 weeks ago</x:v>
      </x:c>
      <x:c r="Q11" s="23" t="str">
        <x:v>United Kingdom</x:v>
      </x:c>
      <x:c r="R11" s="23" t="str">
        <x:v>https://www.upwork.com/jobs/span-class-highlight-span-span-class-highlight-Automation-span-Engineer-Build-One-Business-Ops-span-class-highlight-span-span-class-highlight-Agent-span-Claude-n8n-RAG_~022075311922210730379/?referrer_url_path=/nx/search/jobs/</x:v>
      </x:c>
      <x:c r="S11" s="23" t="str">
        <x:v>AI-агенты и оркестрация</x:v>
      </x:c>
      <x:c r="T11" s="23" t="str">
        <x:v>search:AI agent automation:page7</x:v>
      </x:c>
    </x:row>
    <x:row r="12" ht="48" customHeight="1">
      <x:c r="A12" s="26" t="n">
        <x:v>8</x:v>
      </x:c>
      <x:c r="B12" s="23" t="str">
        <x:v>FL.ru</x:v>
      </x:c>
      <x:c r="C12" s="23" t="str">
        <x:v>5515230</x:v>
      </x:c>
      <x:c r="D12" s="23" t="str">
        <x:v>Чат-боты, поддержка и CRM</x:v>
      </x:c>
      <x:c r="E12" s="29" t="n">
        <x:v>90</x:v>
      </x:c>
      <x:c r="F12" s="23" t="str">
        <x:v>90-94% - очень сильное</x:v>
      </x:c>
      <x:c r="G12" s="23" t="str">
        <x:v>open</x:v>
      </x:c>
      <x:c r="H12" s="23" t="str">
        <x:v>project</x:v>
      </x:c>
      <x:c r="I12" s="23" t="str">
        <x:v>Подключить ИИ-ассистента для переписки и отправки фотографий в чате</x:v>
      </x:c>
      <x:c r="J12" s="23" t="str">
        <x:v>Ассистент для переписки, фото и видео с клиентами с подключением к Kommo.</x:v>
      </x:c>
      <x:c r="K12" s="23" t="str">
        <x:v>Сильный метч с Kora: существующий CRM-контур, клиентские сообщения и управляемые действия можно сузить до одного проверяемого workflow.</x:v>
      </x:c>
      <x:c r="L12" s="23" t="str">
        <x:v>24 ответа; неизвестны consent, права на media, CRM permissions и human approval.</x:v>
      </x:c>
      <x:c r="M12" s="23" t="str">
        <x:v>по договоренности</x:v>
      </x:c>
      <x:c r="N12" s="23" t="str">
        <x:v>не показано</x:v>
      </x:c>
      <x:c r="O12" s="26" t="n">
        <x:v>24</x:v>
      </x:c>
      <x:c r="P12" s="23" t="str">
        <x:v>не сохранено</x:v>
      </x:c>
      <x:c r="Q12" s="23" t="str">
        <x:v>RU</x:v>
      </x:c>
      <x:c r="R12" s="23" t="str">
        <x:v>https://www.fl.ru/projects/5515230/podklyuchit-ii-asisstenta-dlya-prepiski-i-otpravki-fotografiy-v-chate.html</x:v>
      </x:c>
      <x:c r="S12" s="23" t="str">
        <x:v>Бизнес-автоматизация / CRM</x:v>
      </x:c>
      <x:c r="T12" s="23" t="str">
        <x:v>FL.ru AI category</x:v>
      </x:c>
    </x:row>
    <x:row r="13" ht="48" customHeight="1">
      <x:c r="A13" s="26" t="n">
        <x:v>9</x:v>
      </x:c>
      <x:c r="B13" s="23" t="str">
        <x:v>Upwork</x:v>
      </x:c>
      <x:c r="C13" s="23" t="str">
        <x:v>~022080272851686168921</x:v>
      </x:c>
      <x:c r="D13" s="23" t="str">
        <x:v>Автоматизация процессов и интеграции</x:v>
      </x:c>
      <x:c r="E13" s="29" t="n">
        <x:v>90</x:v>
      </x:c>
      <x:c r="F13" s="23" t="str">
        <x:v>90-94% - очень сильное</x:v>
      </x:c>
      <x:c r="G13" s="23" t="str">
        <x:v>captured - recheck</x:v>
      </x:c>
      <x:c r="H13" s="23" t="str">
        <x:v>не указано</x:v>
      </x:c>
      <x:c r="I13" s="23" t="str">
        <x:v>AI Agent Developer for Field Service Operations Automation</x:v>
      </x:c>
      <x:c r="J13" s="23" t="str">
        <x:v>Нужен внутренний агент для field service: читать email и формы, определять тип, срочность и локацию заявки, обновлять CRM, подбирать время и специалиста, готовить ответы, напоминать и эскалировать риски. Первый этап включает admin-интерфейс, human approval, журналы, мониторинг и учет стоимости.</x:v>
      </x:c>
      <x:c r="K13" s="23" t="str">
        <x:v>Это почти точное попадание в Kora: входящие сообщения, структурированное извлечение, бизнес-правила, CRM и календарь, черновики, подтверждение человеком, исключения и аудит. Клиент подтвержден, имеет рейтинг 5 и расходы свыше $30K.</x:v>
      </x:c>
      <x:c r="L13" s="23" t="str">
        <x:v>Нужно показать аналогичные production-системы и надежную защиту от ошибочных записей и назначений. Фиксированный бюджет $550 выглядит низким для всего Phase 1, а конкуренция превышает 50 заявок.</x:v>
      </x:c>
      <x:c r="M13" s="23" t="str">
        <x:v>$550.00</x:v>
      </x:c>
      <x:c r="N13" s="23" t="str">
        <x:v>verified</x:v>
      </x:c>
      <x:c r="O13" s="26" t="str">
        <x:v>50+</x:v>
      </x:c>
      <x:c r="P13" s="23" t="str">
        <x:v>5 days ago</x:v>
      </x:c>
      <x:c r="Q13" s="23" t="str">
        <x:v>AUS</x:v>
      </x:c>
      <x:c r="R13" s="23" t="str">
        <x:v>https://www.upwork.com/jobs/span-class-highlight-span-span-class-highlight-Agent-span-Developer-for-Field-Service-Operations-span-class-highlight-Automation-span_~022080272851686168921/?referrer_url_path=/nx/search/jobs/</x:v>
      </x:c>
      <x:c r="S13" s="23" t="str">
        <x:v>Автоматизация процессов и интеграции</x:v>
      </x:c>
      <x:c r="T13" s="23" t="str">
        <x:v>search:AI agent automation:page3</x:v>
      </x:c>
    </x:row>
    <x:row r="14" ht="48" customHeight="1">
      <x:c r="A14" s="26" t="n">
        <x:v>10</x:v>
      </x:c>
      <x:c r="B14" s="23" t="str">
        <x:v>Upwork</x:v>
      </x:c>
      <x:c r="C14" s="23" t="str">
        <x:v>~022072822607808092445</x:v>
      </x:c>
      <x:c r="D14" s="23" t="str">
        <x:v>AI-агенты и оркестрация</x:v>
      </x:c>
      <x:c r="E14" s="29" t="n">
        <x:v>90</x:v>
      </x:c>
      <x:c r="F14" s="23" t="str">
        <x:v>90-94% - очень сильное</x:v>
      </x:c>
      <x:c r="G14" s="23" t="str">
        <x:v>captured - recheck</x:v>
      </x:c>
      <x:c r="H14" s="23" t="str">
        <x:v>hourly</x:v>
      </x:c>
      <x:c r="I14" s="23" t="str">
        <x:v>AI agents</x:v>
      </x:c>
      <x:c r="J14" s="23" t="str">
        <x:v>Агентству нужна структура из координатора и специализированных агентов вокруг Monday.com, Salesforce, Gmail и Make: контроль ответов и follow-up, создание PO, intake и triage, подбор подрядчиков, генерация и проверка макетов, анализ фотографий и QC. Заказчик просит отдельно оценить каждый workflow, dashboard, архитектуру, сроки, подписки и поддержку.</x:v>
      </x:c>
      <x:c r="K14" s="23" t="str">
        <x:v>Email, CRM, Make, классификация входящих, автоматические действия, эскалации и набор модульных агентов очень близки к Kora и хорошо разбиваются на переиспользуемые пилоты. Клиент особенно сильный: рейтинг 4.9, более $100000 расходов и ставка $30-60/час.</x:v>
      </x:c>
      <x:c r="L14" s="23" t="str">
        <x:v>Полный список слишком велик для одного этапа и включает computer vision и генерацию изображений, где нужны дополнительные компетенции. Следует предлагать один операционный модуль первым; откликов 50+.</x:v>
      </x:c>
      <x:c r="M14" s="23" t="str">
        <x:v>Hourly: $30.00 - $60.00</x:v>
      </x:c>
      <x:c r="N14" s="23" t="str">
        <x:v>verified</x:v>
      </x:c>
      <x:c r="O14" s="26" t="str">
        <x:v>50+</x:v>
      </x:c>
      <x:c r="P14" s="23" t="str">
        <x:v>4 weeks ago</x:v>
      </x:c>
      <x:c r="Q14" s="23" t="str">
        <x:v>United States</x:v>
      </x:c>
      <x:c r="R14" s="23" t="str">
        <x:v>https://www.upwork.com/jobs/span-class-highlight-span-span-class-highlight-agents-span_~022072822607808092445/?referrer_url_path=/nx/search/jobs/</x:v>
      </x:c>
      <x:c r="S14" s="23" t="str">
        <x:v>AI-агенты и оркестрация</x:v>
      </x:c>
      <x:c r="T14" s="23" t="str">
        <x:v>search:AI agent automation:page6</x:v>
      </x:c>
    </x:row>
    <x:row r="15" ht="48" customHeight="1">
      <x:c r="A15" s="26" t="n">
        <x:v>11</x:v>
      </x:c>
      <x:c r="B15" s="23" t="str">
        <x:v>Upwork</x:v>
      </x:c>
      <x:c r="C15" s="23" t="str">
        <x:v>~022080711922231636555</x:v>
      </x:c>
      <x:c r="D15" s="23" t="str">
        <x:v>Автоматизация процессов и интеграции</x:v>
      </x:c>
      <x:c r="E15" s="29" t="n">
        <x:v>90</x:v>
      </x:c>
      <x:c r="F15" s="23" t="str">
        <x:v>90-94% - очень сильное</x:v>
      </x:c>
      <x:c r="G15" s="23" t="str">
        <x:v>captured - recheck</x:v>
      </x:c>
      <x:c r="H15" s="23" t="str">
        <x:v>hourly</x:v>
      </x:c>
      <x:c r="I15" s="23" t="str">
        <x:v>AI Automation &amp; Agent Specialist (Claude / GPT) for Retail/E-Commerce Brand</x:v>
      </x:c>
      <x:c r="J15" s="23" t="str">
        <x:v>Retail и e-commerce бизнес ищет долгосрочного инженера для автоматизации повторяющихся операций и интеграции Shopify, Klaviyo, HubSpot, Google и Meta. Нужны внутренние и клиентские агенты, отчеты, документы, надежная эксплуатация и переход от no-code к Python или JavaScript при необходимости.</x:v>
      </x:c>
      <x:c r="K15" s="23" t="str">
        <x:v>Почти полное совпадение по Claude и OpenAI, агентам, API, n8n или Make, JavaScript, MCP, function calling и требованию надежности. Клиент подтвержден, имеет рейтинг 5, расходы свыше $60K и предлагает небольшой оплачиваемый тест с продолжением.</x:v>
      </x:c>
      <x:c r="L15" s="23" t="str">
        <x:v>Нужно показать измеримый результат ранее запущенной бизнес-автоматизации и желательно опыт Shopify, Klaviyo или HubSpot. Роль требует 30+ часов в неделю, уже подано более 50 заявок.</x:v>
      </x:c>
      <x:c r="M15" s="23" t="str">
        <x:v>Hourly: $25.00 - $100.00</x:v>
      </x:c>
      <x:c r="N15" s="23" t="str">
        <x:v>verified</x:v>
      </x:c>
      <x:c r="O15" s="26" t="str">
        <x:v>50+</x:v>
      </x:c>
      <x:c r="P15" s="23" t="str">
        <x:v>4 days ago</x:v>
      </x:c>
      <x:c r="Q15" s="23" t="str">
        <x:v>United States</x:v>
      </x:c>
      <x:c r="R15" s="23" t="str">
        <x:v>https://www.upwork.com/jobs/span-class-highlight-span-span-class-highlight-Automation-span-amp-span-class-highlight-Agent-span-Specialist-Claude-GPT-for-Retail-Commerce-Brand_~022080711922231636555/?referrer_url_path=/nx/search/jobs/</x:v>
      </x:c>
      <x:c r="S15" s="23" t="str">
        <x:v>Автоматизация процессов и интеграции</x:v>
      </x:c>
      <x:c r="T15" s="23" t="str">
        <x:v>search:AI agent automation:page4</x:v>
      </x:c>
    </x:row>
    <x:row r="16" ht="48" customHeight="1">
      <x:c r="A16" s="26" t="n">
        <x:v>12</x:v>
      </x:c>
      <x:c r="B16" s="23" t="str">
        <x:v>Upwork</x:v>
      </x:c>
      <x:c r="C16" s="23" t="str">
        <x:v>~022081957032774069874</x:v>
      </x:c>
      <x:c r="D16" s="23" t="str">
        <x:v>Чат-боты, поддержка и CRM</x:v>
      </x:c>
      <x:c r="E16" s="29" t="n">
        <x:v>90</x:v>
      </x:c>
      <x:c r="F16" s="23" t="str">
        <x:v>90-94% - очень сильное</x:v>
      </x:c>
      <x:c r="G16" s="23" t="str">
        <x:v>captured - recheck</x:v>
      </x:c>
      <x:c r="H16" s="23" t="str">
        <x:v>hourly</x:v>
      </x:c>
      <x:c r="I16" s="23" t="str">
        <x:v>AI Automation Developer – Gmail, OpenAI &amp; SMS</x:v>
      </x:c>
      <x:c r="J16" s="23" t="str">
        <x:v>Управляющей компании нужен leasing assistant, который читает новые заявки в Gmail, отвечает по email и SMS через Whippy, использует OpenAI для типовых вопросов, предварительно квалифицирует арендаторов, планирует показы в Google Calendar и журналирует коммуникации. Это заявлено как первый из нескольких проектов автоматизации.</x:v>
      </x:c>
      <x:c r="K16" s="23" t="str">
        <x:v>Входящие обращения, AI-ответы, pre-screening, календарь, API, webhooks и workflow automation почти точно соответствуют продуктовой механике Kora. Клиент подтвердил оплату и потратил более $20K, а scope ограничен сроком менее месяца.</x:v>
      </x:c>
      <x:c r="L16" s="23" t="str">
        <x:v>Рейтинг клиента 3,5, ставка $15-$35 и уже 50+ предложений. Автоматическая квалификация арендаторов затрагивает персональные данные и потенциально чувствительные решения, поэтому нужны четкие правила и human review.</x:v>
      </x:c>
      <x:c r="M16" s="23" t="str">
        <x:v>Hourly: $15-$35</x:v>
      </x:c>
      <x:c r="N16" s="23" t="str">
        <x:v>verified</x:v>
      </x:c>
      <x:c r="O16" s="26" t="str">
        <x:v>50+</x:v>
      </x:c>
      <x:c r="P16" s="23" t="str">
        <x:v>13 hours ago</x:v>
      </x:c>
      <x:c r="Q16" s="23" t="str">
        <x:v>United States</x:v>
      </x:c>
      <x:c r="R16" s="23" t="str">
        <x:v>https://www.upwork.com/jobs/Automation-Developer-Gmail-OpenAI-SMS_~022081957032774069874/?referrer_url_path=find_work_home</x:v>
      </x:c>
      <x:c r="S16" s="23" t="str">
        <x:v>Чат-боты, поддержка и CRM</x:v>
      </x:c>
      <x:c r="T16" s="23" t="str">
        <x:v>best_matches</x:v>
      </x:c>
    </x:row>
    <x:row r="17" ht="48" customHeight="1">
      <x:c r="A17" s="26" t="n">
        <x:v>13</x:v>
      </x:c>
      <x:c r="B17" s="23" t="str">
        <x:v>Upwork</x:v>
      </x:c>
      <x:c r="C17" s="23" t="str">
        <x:v>~022078457357601915344</x:v>
      </x:c>
      <x:c r="D17" s="23" t="str">
        <x:v>AI-агенты и оркестрация</x:v>
      </x:c>
      <x:c r="E17" s="29" t="n">
        <x:v>90</x:v>
      </x:c>
      <x:c r="F17" s="23" t="str">
        <x:v>90-94% - очень сильное</x:v>
      </x:c>
      <x:c r="G17" s="23" t="str">
        <x:v>captured - recheck</x:v>
      </x:c>
      <x:c r="H17" s="23" t="str">
        <x:v>hourly</x:v>
      </x:c>
      <x:c r="I17" s="23" t="str">
        <x:v>AI Automation Engineer (Long-Term)</x:v>
      </x:c>
      <x:c r="J17" s="23" t="str">
        <x:v>Компания хочет долгосрочно автоматизировать почтовые ящики, счета и оценки, QuickBooks, собственную CRM, браузерные процессы, документы, исследования и сбор данных. В перспективе центральный AI-ассистент должен координировать специализированные автоматизации.</x:v>
      </x:c>
      <x:c r="K17" s="23" t="str">
        <x:v>Очень сильное совпадение по агентной платформе, документам, CRM, API, браузерной автоматизации, модульности и долгосрочному переходу от отдельных workflow к оркестратору. Клиент подтвержден, имеет рейтинг 5 и расходы свыше $60K.</x:v>
      </x:c>
      <x:c r="L17" s="23" t="str">
        <x:v>Начальный use case не выбран, поэтому сначала потребуется discovery и жесткое разделение на этапы. Нет видимой ставки, а конкуренция превышает 50 заявок.</x:v>
      </x:c>
      <x:c r="M17" s="23" t="str">
        <x:v>Hourly</x:v>
      </x:c>
      <x:c r="N17" s="23" t="str">
        <x:v>verified</x:v>
      </x:c>
      <x:c r="O17" s="26" t="str">
        <x:v>50+</x:v>
      </x:c>
      <x:c r="P17" s="23" t="str">
        <x:v>2 weeks ago</x:v>
      </x:c>
      <x:c r="Q17" s="23" t="str">
        <x:v>United States</x:v>
      </x:c>
      <x:c r="R17" s="23" t="str">
        <x:v>https://www.upwork.com/jobs/span-class-highlight-span-span-class-highlight-Automation-span-Engineer-Long-Term_~022078457357601915344/?referrer_url_path=/nx/search/jobs/</x:v>
      </x:c>
      <x:c r="S17" s="23" t="str">
        <x:v>AI-агенты и оркестрация</x:v>
      </x:c>
      <x:c r="T17" s="23" t="str">
        <x:v>search:AI agent automation:page3</x:v>
      </x:c>
    </x:row>
    <x:row r="18" ht="48" customHeight="1">
      <x:c r="A18" s="26" t="n">
        <x:v>14</x:v>
      </x:c>
      <x:c r="B18" s="23" t="str">
        <x:v>Upwork</x:v>
      </x:c>
      <x:c r="C18" s="23" t="str">
        <x:v>~022081736547732936695</x:v>
      </x:c>
      <x:c r="D18" s="23" t="str">
        <x:v>Автоматизация процессов и интеграции</x:v>
      </x:c>
      <x:c r="E18" s="29" t="n">
        <x:v>90</x:v>
      </x:c>
      <x:c r="F18" s="23" t="str">
        <x:v>90-94% - очень сильное</x:v>
      </x:c>
      <x:c r="G18" s="23" t="str">
        <x:v>captured - recheck</x:v>
      </x:c>
      <x:c r="H18" s="23" t="str">
        <x:v>hourly</x:v>
      </x:c>
      <x:c r="I18" s="23" t="str">
        <x:v>AI Automation Engineer | AI Agents | n8n | Make | LLM Integrations</x:v>
      </x:c>
      <x:c r="J18" s="23" t="str">
        <x:v>Ищут AI Automation Engineer на длительную занятость для n8n, Make или Zapier workflow, AI-агентов, RAG, CRM и API-интеграций, backend-сервисов и поддержки production-систем. Работа включает поиск возможностей автоматизации, реализацию, документацию и постоянное улучшение.</x:v>
      </x:c>
      <x:c r="K18" s="23" t="str">
        <x:v>Это наиболее полное совпадение в диапазоне: JavaScript/TypeScript, AI-агенты, OpenAI/Claude, RAG, API, CRM, cloud и production-надежность напрямую соответствуют Давиду и разработке Kora. Клиент подтвержден, имеет рейтинг 5.0 и $10K+ расходов, а длительность дает потенциал стабильной работы.</x:v>
      </x:c>
      <x:c r="L18" s="23" t="str">
        <x:v>Нужны 3+ года именно в AI-автоматизациях и практические кейсы с n8n, Make или Zapier, наличие которых не следует считать доказанным. Занятость 30+ часов в неделю более шести месяцев может конфликтовать с развитием Kora, а конкуренция уже 50+.</x:v>
      </x:c>
      <x:c r="M18" s="23" t="str">
        <x:v>Hourly</x:v>
      </x:c>
      <x:c r="N18" s="23" t="str">
        <x:v>verified</x:v>
      </x:c>
      <x:c r="O18" s="26" t="str">
        <x:v>50+</x:v>
      </x:c>
      <x:c r="P18" s="23" t="str">
        <x:v>yesterday</x:v>
      </x:c>
      <x:c r="Q18" s="23" t="str">
        <x:v>Argentina</x:v>
      </x:c>
      <x:c r="R18" s="23" t="str">
        <x:v>https://www.upwork.com/jobs/span-class-highlight-span-span-class-highlight-Automation-span-Engineer-span-class-highlight-span-span-class-highlight-Agents-span-n8n-Make-LLM-Integrations_~022081736547732936695/?referrer_url_path=/nx/search/jobs/</x:v>
      </x:c>
      <x:c r="S18" s="23" t="str">
        <x:v>Автоматизация процессов и интеграции</x:v>
      </x:c>
      <x:c r="T18" s="23" t="str">
        <x:v>search:AI agent automation:page1</x:v>
      </x:c>
    </x:row>
    <x:row r="19" ht="48" customHeight="1">
      <x:c r="A19" s="26" t="n">
        <x:v>15</x:v>
      </x:c>
      <x:c r="B19" s="23" t="str">
        <x:v>Upwork</x:v>
      </x:c>
      <x:c r="C19" s="23" t="str">
        <x:v>~022073883528374083136</x:v>
      </x:c>
      <x:c r="D19" s="23" t="str">
        <x:v>Автоматизация процессов и интеграции</x:v>
      </x:c>
      <x:c r="E19" s="29" t="n">
        <x:v>90</x:v>
      </x:c>
      <x:c r="F19" s="23" t="str">
        <x:v>90-94% - очень сильное</x:v>
      </x:c>
      <x:c r="G19" s="23" t="str">
        <x:v>captured - recheck</x:v>
      </x:c>
      <x:c r="H19" s="23" t="str">
        <x:v>hourly</x:v>
      </x:c>
      <x:c r="I19" s="23" t="str">
        <x:v>AI Automation Engineer Build AI Transaction Coordinator for Brivity CRM Claude + Browser Automation</x:v>
      </x:c>
      <x:c r="J19" s="23" t="str">
        <x:v>Нужно автоматизировать координацию сделок в Brivity: получать письмо Gmail, скачивать документы, находить или создавать сделку, добавлять участников, загружать файлы, обновлять checklist и уведомлять агента. Из-за отсутствия обозначенного API предполагается AI-агент с надежной браузерной автоматизацией.</x:v>
      </x:c>
      <x:c r="K19" s="23" t="str">
        <x:v>Очень сильный fit по входящим сообщениям и документам, CRM, многошаговому workflow, Claude или OpenAI, Playwright и долгосрочной автоматизации операций. Клиент подтвержден, имеет рейтинг 5, расходы свыше $3K и прямо планирует следующие проекты.</x:v>
      </x:c>
      <x:c r="L19" s="23" t="str">
        <x:v>Нужен доказанный опыт устойчивой браузерной автоматизации и план на изменения интерфейса Brivity. Требуются 30+ часов в неделю, конкуренция превышает 50 заявок, а доменный опыт real estate CRM будет преимуществом.</x:v>
      </x:c>
      <x:c r="M19" s="23" t="str">
        <x:v>Hourly: $25.00 - $75.00</x:v>
      </x:c>
      <x:c r="N19" s="23" t="str">
        <x:v>verified</x:v>
      </x:c>
      <x:c r="O19" s="26" t="str">
        <x:v>50+</x:v>
      </x:c>
      <x:c r="P19" s="23" t="str">
        <x:v>3 weeks ago</x:v>
      </x:c>
      <x:c r="Q19" s="23" t="str">
        <x:v>United States</x:v>
      </x:c>
      <x:c r="R19" s="23" t="str">
        <x:v>https://www.upwork.com/jobs/span-class-highlight-span-span-class-highlight-Automation-span-Engineer-Build-span-class-highlight-span-Transaction-Coordinator-for-Brivity-CRM-Claude-Browser-span-class-highlight-Automation-span_~022073883528374083136/?referrer_url_path=/nx/search/jobs/</x:v>
      </x:c>
      <x:c r="S19" s="23" t="str">
        <x:v>Автоматизация процессов и интеграции</x:v>
      </x:c>
      <x:c r="T19" s="23" t="str">
        <x:v>search:AI agent automation:page4</x:v>
      </x:c>
    </x:row>
    <x:row r="20" ht="48" customHeight="1">
      <x:c r="A20" s="26" t="n">
        <x:v>16</x:v>
      </x:c>
      <x:c r="B20" s="23" t="str">
        <x:v>Upwork</x:v>
      </x:c>
      <x:c r="C20" s="23" t="str">
        <x:v>~022082128625824180648</x:v>
      </x:c>
      <x:c r="D20" s="23" t="str">
        <x:v>Автоматизация процессов и интеграции</x:v>
      </x:c>
      <x:c r="E20" s="29" t="n">
        <x:v>90</x:v>
      </x:c>
      <x:c r="F20" s="23" t="str">
        <x:v>90-94% - очень сильное</x:v>
      </x:c>
      <x:c r="G20" s="23" t="str">
        <x:v>captured - recheck</x:v>
      </x:c>
      <x:c r="H20" s="23" t="str">
        <x:v>hourly</x:v>
      </x:c>
      <x:c r="I20" s="23" t="str">
        <x:v>AI Automation Expert (Agents + n8n)</x:v>
      </x:c>
      <x:c r="J20" s="23" t="str">
        <x:v>У обувного бренда уже работает внутренний AI-агент в Slack, но его хотят аккуратно перестроить в n8n, убрать хаотичную структуру и сделать основу удобной для дальнейшего расширения. Требуется реальный опыт AI-агентов и хорошая архитектура n8n-workflows.</x:v>
      </x:c>
      <x:c r="K20" s="23" t="str">
        <x:v>Рефакторинг действующего Slack-агента в поддерживаемую n8n-систему очень близок к AI automation и продуктовой инфраструктуре Kora. Scope ограничен сроком менее недели, клиент подтвержден, рейтинг 4,8 и более $20K расходов.</x:v>
      </x:c>
      <x:c r="L20" s="23" t="str">
        <x:v>Точные функции текущего агента и критерии готовности не перечислены, ставка не отображается. Клиент требует доказуемого опыта реальных агентов, а конкуренция уже 50+.</x:v>
      </x:c>
      <x:c r="M20" s="23" t="str">
        <x:v>Hourly</x:v>
      </x:c>
      <x:c r="N20" s="23" t="str">
        <x:v>verified</x:v>
      </x:c>
      <x:c r="O20" s="26" t="str">
        <x:v>50+</x:v>
      </x:c>
      <x:c r="P20" s="23" t="str">
        <x:v>1 hour ago</x:v>
      </x:c>
      <x:c r="Q20" s="23" t="str">
        <x:v>Netherlands</x:v>
      </x:c>
      <x:c r="R20" s="23" t="str">
        <x:v>https://www.upwork.com/jobs/Automation-Expert-Agents-n8n_~022082128625824180648/?referrer_url_path=find_work_home</x:v>
      </x:c>
      <x:c r="S20" s="23" t="str">
        <x:v>Автоматизация процессов и интеграции</x:v>
      </x:c>
      <x:c r="T20" s="23" t="str">
        <x:v>best_matches</x:v>
      </x:c>
    </x:row>
    <x:row r="21" ht="48" customHeight="1">
      <x:c r="A21" s="26" t="n">
        <x:v>17</x:v>
      </x:c>
      <x:c r="B21" s="23" t="str">
        <x:v>Upwork</x:v>
      </x:c>
      <x:c r="C21" s="23" t="str">
        <x:v>~022076935615291863294</x:v>
      </x:c>
      <x:c r="D21" s="23" t="str">
        <x:v>Автоматизация процессов и интеграции</x:v>
      </x:c>
      <x:c r="E21" s="29" t="n">
        <x:v>90</x:v>
      </x:c>
      <x:c r="F21" s="23" t="str">
        <x:v>90-94% - очень сильное</x:v>
      </x:c>
      <x:c r="G21" s="23" t="str">
        <x:v>captured - recheck</x:v>
      </x:c>
      <x:c r="H21" s="23" t="str">
        <x:v>не указано</x:v>
      </x:c>
      <x:c r="I21" s="23" t="str">
        <x:v>Ai Automation for marketing agency</x:v>
      </x:c>
      <x:c r="J21" s="23" t="str">
        <x:v>Маркетинговое агентство хочет подключить AI к CRM, почте и системе управления проектами для квалификации лидов, поддержки, записи, подготовки предложений и внутренних передач. Клиент предлагает начать с одного небольшого пилотного workflow и расширять систему после проверки.</x:v>
      </x:c>
      <x:c r="K21" s="23" t="str">
        <x:v>Практически прямой продуктовый сценарий Kora: CRM, сообщения, лиды, расписание, Claude/OpenAI и поэтапный пилот с возможностью повторного использования.</x:v>
      </x:c>
      <x:c r="L21" s="23" t="str">
        <x:v>Нужно заранее сузить первый модуль и критерии приемки; у клиента пока нет расходов и рейтинга, уже 50+ предложений.</x:v>
      </x:c>
      <x:c r="M21" s="23" t="str">
        <x:v>$900.00</x:v>
      </x:c>
      <x:c r="N21" s="23" t="str">
        <x:v>verified</x:v>
      </x:c>
      <x:c r="O21" s="26" t="str">
        <x:v>50+</x:v>
      </x:c>
      <x:c r="P21" s="23" t="str">
        <x:v>2 weeks ago</x:v>
      </x:c>
      <x:c r="Q21" s="23" t="str">
        <x:v>France</x:v>
      </x:c>
      <x:c r="R21" s="23" t="str">
        <x:v>https://www.upwork.com/jobs/span-class-highlight-span-span-class-highlight-Automation-span-for-marketing-agency_~022076935615291863294/?referrer_url_path=/nx/search/jobs/</x:v>
      </x:c>
      <x:c r="S21" s="23" t="str">
        <x:v>Автоматизация процессов и интеграции</x:v>
      </x:c>
      <x:c r="T21" s="23" t="str">
        <x:v>search:AI agent automation:page7</x:v>
      </x:c>
    </x:row>
    <x:row r="22" ht="48" customHeight="1">
      <x:c r="A22" s="26" t="n">
        <x:v>18</x:v>
      </x:c>
      <x:c r="B22" s="23" t="str">
        <x:v>Upwork</x:v>
      </x:c>
      <x:c r="C22" s="23" t="str">
        <x:v>~022071869598491167955</x:v>
      </x:c>
      <x:c r="D22" s="23" t="str">
        <x:v>Чат-боты, поддержка и CRM</x:v>
      </x:c>
      <x:c r="E22" s="29" t="n">
        <x:v>90</x:v>
      </x:c>
      <x:c r="F22" s="23" t="str">
        <x:v>90-94% - очень сильное</x:v>
      </x:c>
      <x:c r="G22" s="23" t="str">
        <x:v>captured - recheck</x:v>
      </x:c>
      <x:c r="H22" s="23" t="str">
        <x:v>не указано</x:v>
      </x:c>
      <x:c r="I22" s="23" t="str">
        <x:v>AI Automation Specialist for Lead Qualification, CRM Routing and Multichannel Appointment Booking</x:v>
      </x:c>
      <x:c r="J22" s="23" t="str">
        <x:v>Нужно построить многоязычную систему записи на прием: классифицировать входящие сообщения, управлять бронированием, переносом, отменой, напоминаниями и листом ожидания, синхронизируя календарь и CRM. AI только интерпретирует запросы, а действия выполняются по правилам с логами и эскалацией человеку.</x:v>
      </x:c>
      <x:c r="K22" s="23" t="str">
        <x:v>Почти точное попадание в ядро Kora: сообщения, структурированное извлечение, маршрутизация, CRM, календарь, human-in-the-loop и повторно используемая архитектура.</x:v>
      </x:c>
      <x:c r="L22" s="23" t="str">
        <x:v>Объем на несколько этапов несоразмерен фиксированным $500; клиент без расходов и рейтинга, 20-50 предложений, нужны подтвержденные кейсы именно с календарями и CRM.</x:v>
      </x:c>
      <x:c r="M22" s="23" t="str">
        <x:v>$500.00</x:v>
      </x:c>
      <x:c r="N22" s="23" t="str">
        <x:v>verified</x:v>
      </x:c>
      <x:c r="O22" s="26" t="str">
        <x:v>20 to 50</x:v>
      </x:c>
      <x:c r="P22" s="23" t="str">
        <x:v>4 weeks ago</x:v>
      </x:c>
      <x:c r="Q22" s="23" t="str">
        <x:v>Andorra</x:v>
      </x:c>
      <x:c r="R22" s="23" t="str">
        <x:v>https://www.upwork.com/jobs/span-class-highlight-span-span-class-highlight-Automation-span-Specialist-for-Lead-Qualification-CRM-Routing-and-Multichannel-Appointment-Booking_~022071869598491167955/?referrer_url_path=/nx/search/jobs/</x:v>
      </x:c>
      <x:c r="S22" s="23" t="str">
        <x:v>Чат-боты, поддержка и CRM</x:v>
      </x:c>
      <x:c r="T22" s="23" t="str">
        <x:v>search:AI agent automation:page6</x:v>
      </x:c>
    </x:row>
    <x:row r="23" ht="48" customHeight="1">
      <x:c r="A23" s="26" t="n">
        <x:v>19</x:v>
      </x:c>
      <x:c r="B23" s="23" t="str">
        <x:v>Upwork</x:v>
      </x:c>
      <x:c r="C23" s="23" t="str">
        <x:v>~022079631969043129867</x:v>
      </x:c>
      <x:c r="D23" s="23" t="str">
        <x:v>Автоматизация процессов и интеграции</x:v>
      </x:c>
      <x:c r="E23" s="29" t="n">
        <x:v>90</x:v>
      </x:c>
      <x:c r="F23" s="23" t="str">
        <x:v>90-94% - очень сильное</x:v>
      </x:c>
      <x:c r="G23" s="23" t="str">
        <x:v>captured - recheck</x:v>
      </x:c>
      <x:c r="H23" s="23" t="str">
        <x:v>не указано</x:v>
      </x:c>
      <x:c r="I23" s="23" t="str">
        <x:v>AI Workflow Automation Developer for Order Processing and Operations</x:v>
      </x:c>
      <x:c r="J23" s="23" t="str">
        <x:v>Оптовому дистрибьютору нужно автоматизировать заказы из email, вложений, таблиц, сайта и партнерских каналов: извлекать реквизиты, проверять правила, запрашивать inventory и клиентов через API, создавать черновики в ERP или CRM и эскалировать исключения человеку. Нужны follow-up письма, Slack или Teams, audit trail, защита от дублей, надежное восстановление и мониторинг.</x:v>
      </x:c>
      <x:c r="K23" s="23" t="str">
        <x:v>Это точное совпадение с продуктовой гипотезой Kora: входящие сообщения и документы, structured extraction, детерминированные проверки, API и CRM, human approval, аудит и надежные fallbacks. Стек открыт для n8n, Node-совместимых интеграций, OpenAI или Claude, а клиент имеет рейтинг 5.0 и более $100000 расходов.</x:v>
      </x:c>
      <x:c r="L23" s="23" t="str">
        <x:v>Фиксированный бюджет $300 несоразмерен описанной production-системе и множеству интеграций, поэтому нужен жестко ограниченный платный discovery или один MVP-поток. Уже 50+ откликов.</x:v>
      </x:c>
      <x:c r="M23" s="23" t="str">
        <x:v>$300.00</x:v>
      </x:c>
      <x:c r="N23" s="23" t="str">
        <x:v>verified</x:v>
      </x:c>
      <x:c r="O23" s="26" t="str">
        <x:v>50+</x:v>
      </x:c>
      <x:c r="P23" s="23" t="str">
        <x:v>last week</x:v>
      </x:c>
      <x:c r="Q23" s="23" t="str">
        <x:v>Serbia</x:v>
      </x:c>
      <x:c r="R23" s="23" t="str">
        <x:v>https://www.upwork.com/jobs/span-class-highlight-span-Workflow-span-class-highlight-Automation-span-Developer-for-Order-Processing-and-Operations_~022079631969043129867/?referrer_url_path=/nx/search/jobs/</x:v>
      </x:c>
      <x:c r="S23" s="23" t="str">
        <x:v>Автоматизация процессов и интеграции</x:v>
      </x:c>
      <x:c r="T23" s="23" t="str">
        <x:v>search:AI agent automation:page6</x:v>
      </x:c>
    </x:row>
    <x:row r="24" ht="48" customHeight="1">
      <x:c r="A24" s="26" t="n">
        <x:v>20</x:v>
      </x:c>
      <x:c r="B24" s="23" t="str">
        <x:v>Upwork</x:v>
      </x:c>
      <x:c r="C24" s="23" t="str">
        <x:v>~022082059740997677549</x:v>
      </x:c>
      <x:c r="D24" s="23" t="str">
        <x:v>AI-продукты и full-stack</x:v>
      </x:c>
      <x:c r="E24" s="29" t="n">
        <x:v>90</x:v>
      </x:c>
      <x:c r="F24" s="23" t="str">
        <x:v>90-94% - очень сильное</x:v>
      </x:c>
      <x:c r="G24" s="23" t="str">
        <x:v>captured - recheck</x:v>
      </x:c>
      <x:c r="H24" s="23" t="str">
        <x:v>hourly</x:v>
      </x:c>
      <x:c r="I24" s="23" t="str">
        <x:v>Senior AI Engineer to Build an AI Sales Operations Employee (LLMs, CRM, Multi-Agent AI)</x:v>
      </x:c>
      <x:c r="J24" s="23" t="str">
        <x:v>Нужно построить production-платформу AI Sales Operations Employee, которая исследует и квалифицирует лиды, генерирует outreach и предложения, обновляет CRM, ведет follow-up, бронирует встречи и показывает аналитику. Требуются full-stack, multi-agent orchestration, RAG, n8n или аналоги, API, deployment, тесты и мониторинг.</x:v>
      </x:c>
      <x:c r="K24" s="23" t="str">
        <x:v>Node.js, TypeScript, React, LLM, агентные workflows, RAG, CRM, OAuth и n8n почти полностью совпадают со стеком Давида и направлением Kora. Бизнес-процесс сформулирован подробно, а продуктовая переиспользуемость очень высокая.</x:v>
      </x:c>
      <x:c r="L24" s="23" t="str">
        <x:v>Это крупный production-продукт на 3-6 месяцев и 30+ часов в неделю с требованием релевантного портфолио. Клиент потратил только $1K+, ставка $30-$45 и уже 50+ предложений.</x:v>
      </x:c>
      <x:c r="M24" s="23" t="str">
        <x:v>Hourly: $30-$45</x:v>
      </x:c>
      <x:c r="N24" s="23" t="str">
        <x:v>verified</x:v>
      </x:c>
      <x:c r="O24" s="26" t="str">
        <x:v>50+</x:v>
      </x:c>
      <x:c r="P24" s="23" t="str">
        <x:v>6 hours ago</x:v>
      </x:c>
      <x:c r="Q24" s="23" t="str">
        <x:v>United States</x:v>
      </x:c>
      <x:c r="R24" s="23" t="str">
        <x:v>https://www.upwork.com/jobs/Senior-Engineer-Build-Sales-Operations-Employee-LLMs-CRM-Multi-Agent_~022082059740997677549/?referrer_url_path=find_work_home</x:v>
      </x:c>
      <x:c r="S24" s="23" t="str">
        <x:v>AI-продукты и full-stack</x:v>
      </x:c>
      <x:c r="T24" s="23" t="str">
        <x:v>best_matches</x:v>
      </x:c>
    </x:row>
    <x:row r="25" ht="48" customHeight="1">
      <x:c r="A25" s="26" t="n">
        <x:v>21</x:v>
      </x:c>
      <x:c r="B25" s="23" t="str">
        <x:v>FL.ru</x:v>
      </x:c>
      <x:c r="C25" s="23" t="str">
        <x:v>5514888</x:v>
      </x:c>
      <x:c r="D25" s="23" t="str">
        <x:v>AI-агенты и оркестрация</x:v>
      </x:c>
      <x:c r="E25" s="29" t="n">
        <x:v>90</x:v>
      </x:c>
      <x:c r="F25" s="23" t="str">
        <x:v>90-94% - очень сильное</x:v>
      </x:c>
      <x:c r="G25" s="23" t="str">
        <x:v>assigned</x:v>
      </x:c>
      <x:c r="H25" s="23" t="str">
        <x:v>project</x:v>
      </x:c>
      <x:c r="I25" s="23" t="str">
        <x:v>AI-агент</x:v>
      </x:c>
      <x:c r="J25" s="23" t="str">
        <x:v>Корпоративный Telegram-агент с интеграцией в сервисы Яндекса. Исполнитель уже определен.</x:v>
      </x:c>
      <x:c r="K25" s="23" t="str">
        <x:v>Сильный технический метч по агентам, интеграциям и управлению состоянием, но широкий platform scope нужно отделять от продуктового спроса на Kora.</x:v>
      </x:c>
      <x:c r="L25" s="23" t="str">
        <x:v>Исполнитель уже определен: строка только для исторического спроса</x:v>
      </x:c>
      <x:c r="M25" s="23" t="str">
        <x:v>50 000</x:v>
      </x:c>
      <x:c r="N25" s="23" t="str">
        <x:v>не показано</x:v>
      </x:c>
      <x:c r="O25" s="26" t="n">
        <x:v>0</x:v>
      </x:c>
      <x:c r="P25" s="23" t="str">
        <x:v>не сохранено</x:v>
      </x:c>
      <x:c r="Q25" s="23" t="str">
        <x:v>RU</x:v>
      </x:c>
      <x:c r="R25" s="23" t="str">
        <x:v>https://www.fl.ru/projects/5514888/ai-agent.html</x:v>
      </x:c>
      <x:c r="S25" s="23" t="str">
        <x:v>AI-агенты / платформа</x:v>
      </x:c>
      <x:c r="T25" s="23" t="str">
        <x:v>FL.ru AI category</x:v>
      </x:c>
    </x:row>
    <x:row r="26" ht="48" customHeight="1">
      <x:c r="A26" s="26" t="n">
        <x:v>22</x:v>
      </x:c>
      <x:c r="B26" s="23" t="str">
        <x:v>FL.ru</x:v>
      </x:c>
      <x:c r="C26" s="23" t="str">
        <x:v>5514469</x:v>
      </x:c>
      <x:c r="D26" s="23" t="str">
        <x:v>Документы и данные</x:v>
      </x:c>
      <x:c r="E26" s="29" t="n">
        <x:v>88</x:v>
      </x:c>
      <x:c r="F26" s="23" t="str">
        <x:v>80-89% - сильное</x:v>
      </x:c>
      <x:c r="G26" s="23" t="str">
        <x:v>open</x:v>
      </x:c>
      <x:c r="H26" s="23" t="str">
        <x:v>project</x:v>
      </x:c>
      <x:c r="I26" s="23" t="str">
        <x:v>Помощь в настройке Claude</x:v>
      </x:c>
      <x:c r="J26" s="23" t="str">
        <x:v>Автоматическое создание коммерческих предложений и расчетов по шаблонам и параметрам.</x:v>
      </x:c>
      <x:c r="K26" s="23" t="str">
        <x:v>Совпадает с сильными сторонами Давида в автоматизации, API и контролируемой обработке данных. Нужен узкий acceptance test.</x:v>
      </x:c>
      <x:c r="L26" s="23" t="str">
        <x:v>27 ответов; бюджет и критерии корректности расчетов не определены.</x:v>
      </x:c>
      <x:c r="M26" s="23" t="str">
        <x:v>по договоренности</x:v>
      </x:c>
      <x:c r="N26" s="23" t="str">
        <x:v>не показано</x:v>
      </x:c>
      <x:c r="O26" s="26" t="n">
        <x:v>27</x:v>
      </x:c>
      <x:c r="P26" s="23" t="str">
        <x:v>не сохранено</x:v>
      </x:c>
      <x:c r="Q26" s="23" t="str">
        <x:v>RU</x:v>
      </x:c>
      <x:c r="R26" s="23" t="str">
        <x:v>https://www.fl.ru/projects/5514469/pomosch-v-nastroyke-claude.html</x:v>
      </x:c>
      <x:c r="S26" s="23" t="str">
        <x:v>Документы / расчеты</x:v>
      </x:c>
      <x:c r="T26" s="23" t="str">
        <x:v>FL.ru AI category</x:v>
      </x:c>
    </x:row>
    <x:row r="27" ht="48" customHeight="1">
      <x:c r="A27" s="26" t="n">
        <x:v>23</x:v>
      </x:c>
      <x:c r="B27" s="23" t="str">
        <x:v>FL.ru</x:v>
      </x:c>
      <x:c r="C27" s="23" t="str">
        <x:v>5514270</x:v>
      </x:c>
      <x:c r="D27" s="23" t="str">
        <x:v>AI-агенты и оркестрация</x:v>
      </x:c>
      <x:c r="E27" s="29" t="n">
        <x:v>85</x:v>
      </x:c>
      <x:c r="F27" s="23" t="str">
        <x:v>80-89% - сильное</x:v>
      </x:c>
      <x:c r="G27" s="23" t="str">
        <x:v>open</x:v>
      </x:c>
      <x:c r="H27" s="23" t="str">
        <x:v>project</x:v>
      </x:c>
      <x:c r="I27" s="23" t="str">
        <x:v>Разработка мультиагентной AI-платформы</x:v>
      </x:c>
      <x:c r="J27" s="23" t="str">
        <x:v>Серверная часть AI-офиса по готовой архитектуре с несколькими агентами.</x:v>
      </x:c>
      <x:c r="K27" s="23" t="str">
        <x:v>Сильный технический метч по агентам, интеграциям и управлению состоянием, но широкий platform scope нужно отделять от продуктового спроса на Kora.</x:v>
      </x:c>
      <x:c r="L27" s="23" t="str">
        <x:v>36 ответов: высокая конкуренция</x:v>
      </x:c>
      <x:c r="M27" s="23" t="str">
        <x:v>по договоренности</x:v>
      </x:c>
      <x:c r="N27" s="23" t="str">
        <x:v>не показано</x:v>
      </x:c>
      <x:c r="O27" s="26" t="n">
        <x:v>36</x:v>
      </x:c>
      <x:c r="P27" s="23" t="str">
        <x:v>не сохранено</x:v>
      </x:c>
      <x:c r="Q27" s="23" t="str">
        <x:v>RU</x:v>
      </x:c>
      <x:c r="R27" s="23" t="str">
        <x:v>https://www.fl.ru/projects/5514270/razrabotka-multiagentnoy-ai-platformyi.html</x:v>
      </x:c>
      <x:c r="S27" s="23" t="str">
        <x:v>AI-агенты / платформа</x:v>
      </x:c>
      <x:c r="T27" s="23" t="str">
        <x:v>FL.ru AI category</x:v>
      </x:c>
    </x:row>
    <x:row r="28" ht="48" customHeight="1">
      <x:c r="A28" s="26" t="n">
        <x:v>24</x:v>
      </x:c>
      <x:c r="B28" s="23" t="str">
        <x:v>FL.ru</x:v>
      </x:c>
      <x:c r="C28" s="23" t="str">
        <x:v>5514438</x:v>
      </x:c>
      <x:c r="D28" s="23" t="str">
        <x:v>Инфраструктура и Claude</x:v>
      </x:c>
      <x:c r="E28" s="29" t="n">
        <x:v>85</x:v>
      </x:c>
      <x:c r="F28" s="23" t="str">
        <x:v>80-89% - сильное</x:v>
      </x:c>
      <x:c r="G28" s="23" t="str">
        <x:v>open</x:v>
      </x:c>
      <x:c r="H28" s="23" t="str">
        <x:v>project</x:v>
      </x:c>
      <x:c r="I28" s="23" t="str">
        <x:v>Установить Claude на VPS</x:v>
      </x:c>
      <x:c r="J28" s="23" t="str">
        <x:v>Безопасная среда Claude Code на Mac и VPS с Docker, MCP, Git и автоматизацией.</x:v>
      </x:c>
      <x:c r="K28" s="23" t="str">
        <x:v>Хороший инженерный метч по Claude, MCP, окружению и интеграциям. Это скорее денежный bridge и исследование боли, чем прямой Kora PMF.</x:v>
      </x:c>
      <x:c r="L28" s="23" t="str">
        <x:v>15 ответов</x:v>
      </x:c>
      <x:c r="M28" s="23" t="str">
        <x:v>по договоренности</x:v>
      </x:c>
      <x:c r="N28" s="23" t="str">
        <x:v>не показано</x:v>
      </x:c>
      <x:c r="O28" s="26" t="n">
        <x:v>15</x:v>
      </x:c>
      <x:c r="P28" s="23" t="str">
        <x:v>не сохранено</x:v>
      </x:c>
      <x:c r="Q28" s="23" t="str">
        <x:v>RU</x:v>
      </x:c>
      <x:c r="R28" s="23" t="str">
        <x:v>https://www.fl.ru/projects/5514438/ustonovit-claude-na-vsp.html</x:v>
      </x:c>
      <x:c r="S28" s="23" t="str">
        <x:v>Claude / инфраструктура</x:v>
      </x:c>
      <x:c r="T28" s="23" t="str">
        <x:v>FL.ru AI category</x:v>
      </x:c>
    </x:row>
    <x:row r="29" ht="48" customHeight="1">
      <x:c r="A29" s="26" t="n">
        <x:v>25</x:v>
      </x:c>
      <x:c r="B29" s="23" t="str">
        <x:v>Upwork</x:v>
      </x:c>
      <x:c r="C29" s="23" t="str">
        <x:v>~022082023362208208284</x:v>
      </x:c>
      <x:c r="D29" s="23" t="str">
        <x:v>Автоматизация процессов и интеграции</x:v>
      </x:c>
      <x:c r="E29" s="29" t="n">
        <x:v>85</x:v>
      </x:c>
      <x:c r="F29" s="23" t="str">
        <x:v>80-89% - сильное</x:v>
      </x:c>
      <x:c r="G29" s="23" t="str">
        <x:v>captured - recheck</x:v>
      </x:c>
      <x:c r="H29" s="23" t="str">
        <x:v>hourly</x:v>
      </x:c>
      <x:c r="I29" s="23" t="str">
        <x:v>AI Agent &amp; n8n Automation System for Freight Forwarding Company</x:v>
      </x:c>
      <x:c r="J29" s="23" t="str">
        <x:v>Для логистической компании требуется MVP на n8n и OpenAI: база лидов, CRM, генерация и последовательности писем, Airtable или Google Sheets, отчеты, дедупликация и статусы. В следующих этапах возможны RFQ, расчет фрахта, WhatsApp и дополнительные процессы.</x:v>
      </x:c>
      <x:c r="K29" s="23" t="str">
        <x:v>Почти прямое совпадение с профилем Kora: входящие данные, CRM, OpenAI, n8n, бизнес-правила, интеграции и расширяемые workflow. MVP описан достаточно предметно и пригоден для поэтапной реализации.</x:v>
      </x:c>
      <x:c r="L29" s="23" t="str">
        <x:v>Клиент без подтвержденной оплаты и истории расходов, ставка не указана. Желателен опыт в freight forwarding, а перечисленные будущие фазы создают риск расширения scope.</x:v>
      </x:c>
      <x:c r="M29" s="23" t="str">
        <x:v>Hourly</x:v>
      </x:c>
      <x:c r="N29" s="23" t="str">
        <x:v>unverified</x:v>
      </x:c>
      <x:c r="O29" s="26" t="str">
        <x:v>20 to 50</x:v>
      </x:c>
      <x:c r="P29" s="23" t="str">
        <x:v>5 hours ago</x:v>
      </x:c>
      <x:c r="Q29" s="23" t="str">
        <x:v>United Arab Emirates</x:v>
      </x:c>
      <x:c r="R29" s="23" t="str">
        <x:v>https://www.upwork.com/jobs/span-class-highlight-span-span-class-highlight-Agent-span-amp-n8n-span-class-highlight-Automation-span-System-for-Freight-Forwarding-Company_~022082023362208208284/?referrer_url_path=/nx/search/jobs/</x:v>
      </x:c>
      <x:c r="S29" s="23" t="str">
        <x:v>Автоматизация процессов и интеграции</x:v>
      </x:c>
      <x:c r="T29" s="23" t="str">
        <x:v>search:AI agent automation:page2</x:v>
      </x:c>
    </x:row>
    <x:row r="30" ht="48" customHeight="1">
      <x:c r="A30" s="26" t="n">
        <x:v>26</x:v>
      </x:c>
      <x:c r="B30" s="23" t="str">
        <x:v>Upwork</x:v>
      </x:c>
      <x:c r="C30" s="23" t="str">
        <x:v>~022082121535485723389</x:v>
      </x:c>
      <x:c r="D30" s="23" t="str">
        <x:v>AI-агенты и оркестрация</x:v>
      </x:c>
      <x:c r="E30" s="29" t="n">
        <x:v>85</x:v>
      </x:c>
      <x:c r="F30" s="23" t="str">
        <x:v>80-89% - сильное</x:v>
      </x:c>
      <x:c r="G30" s="23" t="str">
        <x:v>captured - recheck</x:v>
      </x:c>
      <x:c r="H30" s="23" t="str">
        <x:v>hourly</x:v>
      </x:c>
      <x:c r="I30" s="23" t="str">
        <x:v>AI Agent Developer for Commodity Data</x:v>
      </x:c>
      <x:c r="J30" s="23" t="str">
        <x:v>Нужно создать в n8n первого из трех AI-агентов: он исследует данные о сырьевых товарах только по утвержденным источникам и экспортирует структурированный результат в Excel и PDF. В следующих этапах планируются проверка данных по правилам и генерация отчетов.</x:v>
      </x:c>
      <x:c r="K30" s="23" t="str">
        <x:v>Очень близкий стек: n8n, LLM API, RAG, структурированные данные и повторяемый агентный workflow. Узкий тестовый этап реалистичен для одного исполнителя и хорошо переиспользуется в Kora.</x:v>
      </x:c>
      <x:c r="L30" s="23" t="str">
        <x:v>Клиент без подтвержденной оплаты и истории, уже 20-50 предложений. Потребуются доказуемые примеры именно n8n и RAG, а требования к источникам и качеству экспорта еще надо уточнить.</x:v>
      </x:c>
      <x:c r="M30" s="23" t="str">
        <x:v>Hourly: $25-$45</x:v>
      </x:c>
      <x:c r="N30" s="23" t="str">
        <x:v>unverified</x:v>
      </x:c>
      <x:c r="O30" s="26" t="str">
        <x:v>20 to 50</x:v>
      </x:c>
      <x:c r="P30" s="23" t="str">
        <x:v>2 hours ago</x:v>
      </x:c>
      <x:c r="Q30" s="23" t="str">
        <x:v>Brazil</x:v>
      </x:c>
      <x:c r="R30" s="23" t="str">
        <x:v>https://www.upwork.com/jobs/Agent-Developer-for-Commodity-Data_~022082121535485723389/?referrer_url_path=find_work_home</x:v>
      </x:c>
      <x:c r="S30" s="23" t="str">
        <x:v>AI-агенты и оркестрация</x:v>
      </x:c>
      <x:c r="T30" s="23" t="str">
        <x:v>best_matches</x:v>
      </x:c>
    </x:row>
    <x:row r="31" ht="48" customHeight="1">
      <x:c r="A31" s="26" t="n">
        <x:v>27</x:v>
      </x:c>
      <x:c r="B31" s="23" t="str">
        <x:v>Upwork</x:v>
      </x:c>
      <x:c r="C31" s="23" t="str">
        <x:v>~022081858218070459133</x:v>
      </x:c>
      <x:c r="D31" s="23" t="str">
        <x:v>AI-агенты и оркестрация</x:v>
      </x:c>
      <x:c r="E31" s="29" t="n">
        <x:v>85</x:v>
      </x:c>
      <x:c r="F31" s="23" t="str">
        <x:v>80-89% - сильное</x:v>
      </x:c>
      <x:c r="G31" s="23" t="str">
        <x:v>captured - recheck</x:v>
      </x:c>
      <x:c r="H31" s="23" t="str">
        <x:v>hourly</x:v>
      </x:c>
      <x:c r="I31" s="23" t="str">
        <x:v>AI Agent Developer for Dynamic Cost Estimator</x:v>
      </x:c>
      <x:c r="J31" s="23" t="str">
        <x:v>Нужно создать AI-агента для расчета стоимости: регулярно собирать и проверять цены, хранить их в структурированной базе, применять формулы и правила, а спорные данные отправлять на проверку человеку.</x:v>
      </x:c>
      <x:c r="K31" s="23" t="str">
        <x:v>Очень близко к сильной стороне Давида и продуктовой механике Kora: агент, API-интеграции, структурированные данные, детерминированные правила и human-in-the-loop. Объем ограничен сроком до месяца, а результат описан достаточно конкретно.</x:v>
      </x:c>
      <x:c r="L31" s="23" t="str">
        <x:v>Клиент ожидает примеры ранее созданных estimators или агентных систем, но наличие такого портфолио не подтверждено. Нет видимой ставки, уже 50+ предложений, а опыт в строительных расчетах будет преимуществом.</x:v>
      </x:c>
      <x:c r="M31" s="23" t="str">
        <x:v>Hourly</x:v>
      </x:c>
      <x:c r="N31" s="23" t="str">
        <x:v>verified</x:v>
      </x:c>
      <x:c r="O31" s="26" t="str">
        <x:v>50+</x:v>
      </x:c>
      <x:c r="P31" s="23" t="str">
        <x:v>19 hours ago</x:v>
      </x:c>
      <x:c r="Q31" s="23" t="str">
        <x:v>United States</x:v>
      </x:c>
      <x:c r="R31" s="23" t="str">
        <x:v>https://www.upwork.com/jobs/Agent-Developer-for-Dynamic-Cost-Estimator_~022081858218070459133/?referrer_url_path=find_work_home</x:v>
      </x:c>
      <x:c r="S31" s="23" t="str">
        <x:v>AI-агенты и оркестрация</x:v>
      </x:c>
      <x:c r="T31" s="23" t="str">
        <x:v>best_matches</x:v>
      </x:c>
    </x:row>
    <x:row r="32" ht="48" customHeight="1">
      <x:c r="A32" s="26" t="n">
        <x:v>28</x:v>
      </x:c>
      <x:c r="B32" s="23" t="str">
        <x:v>Upwork</x:v>
      </x:c>
      <x:c r="C32" s="23" t="str">
        <x:v>~022081598123554232311</x:v>
      </x:c>
      <x:c r="D32" s="23" t="str">
        <x:v>Автоматизация процессов и интеграции</x:v>
      </x:c>
      <x:c r="E32" s="29" t="n">
        <x:v>85</x:v>
      </x:c>
      <x:c r="F32" s="23" t="str">
        <x:v>80-89% - сильное</x:v>
      </x:c>
      <x:c r="G32" s="23" t="str">
        <x:v>captured - recheck</x:v>
      </x:c>
      <x:c r="H32" s="23" t="str">
        <x:v>hourly</x:v>
      </x:c>
      <x:c r="I32" s="23" t="str">
        <x:v>AI-Powered Property Management &amp; Tenant Operations Automation</x:v>
      </x:c>
      <x:c r="J32" s="23" t="str">
        <x:v>Нужно автоматизировать операции с арендаторами: принимать WhatsApp-сообщения и платежные скриншоты, извлекать данные OCR, сверять платежи в Buildium, синхронизировать QuickBooks, сохранять документы и вести аудит. Агент также должен отвечать на обращения, классифицировать заявки на ремонт и эскалировать исключения.</x:v>
      </x:c>
      <x:c r="K32" s="23" t="str">
        <x:v>Очень сильное совпадение с Kora по обработке сообщений и документов, структурированному извлечению, проверке по надежным данным, API-интеграциям, аудиту и передаче сложных случаев человеку.</x:v>
      </x:c>
      <x:c r="L32" s="23" t="str">
        <x:v>Опыт с Buildium указан как обязательный и не подтвержден. Финансовые операции требуют особенно строгой идемпотентности и контроля ошибок; клиент без подтвержденной оплаты и истории.</x:v>
      </x:c>
      <x:c r="M32" s="23" t="str">
        <x:v>Hourly: $15.00 - $25.00</x:v>
      </x:c>
      <x:c r="N32" s="23" t="str">
        <x:v>unverified</x:v>
      </x:c>
      <x:c r="O32" s="26" t="str">
        <x:v>20 to 50</x:v>
      </x:c>
      <x:c r="P32" s="23" t="str">
        <x:v>yesterday</x:v>
      </x:c>
      <x:c r="Q32" s="23" t="str">
        <x:v>India</x:v>
      </x:c>
      <x:c r="R32" s="23" t="str">
        <x:v>https://www.upwork.com/jobs/span-class-highlight-span-Powered-Property-Management-amp-Tenant-Operations-span-class-highlight-Automation-span_~022081598123554232311/?referrer_url_path=/nx/search/jobs/</x:v>
      </x:c>
      <x:c r="S32" s="23" t="str">
        <x:v>Автоматизация процессов и интеграции</x:v>
      </x:c>
      <x:c r="T32" s="23" t="str">
        <x:v>search:AI agent automation:page3</x:v>
      </x:c>
    </x:row>
    <x:row r="33" ht="48" customHeight="1">
      <x:c r="A33" s="26" t="n">
        <x:v>29</x:v>
      </x:c>
      <x:c r="B33" s="23" t="str">
        <x:v>Upwork</x:v>
      </x:c>
      <x:c r="C33" s="23" t="str">
        <x:v>~022081965076177154541</x:v>
      </x:c>
      <x:c r="D33" s="23" t="str">
        <x:v>Автоматизация процессов и интеграции</x:v>
      </x:c>
      <x:c r="E33" s="29" t="n">
        <x:v>85</x:v>
      </x:c>
      <x:c r="F33" s="23" t="str">
        <x:v>80-89% - сильное</x:v>
      </x:c>
      <x:c r="G33" s="23" t="str">
        <x:v>captured - recheck</x:v>
      </x:c>
      <x:c r="H33" s="23" t="str">
        <x:v>hourly</x:v>
      </x:c>
      <x:c r="I33" s="23" t="str">
        <x:v>Build AI-Powered Zapier Workflow for Automatic Mail Processing (Google Drive + Claude + Discord)</x:v>
      </x:c>
      <x:c r="J33" s="23" t="str">
        <x:v>Нужно собрать в Zapier надежный процесс обработки отсканированной почты: читать PDF через OCR и Claude, классифицировать и переименовывать документы, раскладывать их по Google Drive и отправлять краткое уведомление в Discord.</x:v>
      </x:c>
      <x:c r="K33" s="23" t="str">
        <x:v>Это четкий end-to-end workflow с Claude, API, документами, классификацией, обработкой ошибок и уведомлениями. Он хорошо совпадает с Kora-моделью «документ -&gt; структурированный результат -&gt; действие» и имеет ясные deliverables на срок менее недели.</x:v>
      </x:c>
      <x:c r="L33" s="23" t="str">
        <x:v>Нужны практические Zapier, OCR/PDF и Discord-интеграции, наличие которых в портфолио Давида не подтверждено. Документы могут содержать банковские, медицинские, налоговые и юридические данные; уже 50+ предложений, а клиент требует собственноручно написанный отклик и примеры похожих работ.</x:v>
      </x:c>
      <x:c r="M33" s="23" t="str">
        <x:v>Hourly</x:v>
      </x:c>
      <x:c r="N33" s="23" t="str">
        <x:v>verified</x:v>
      </x:c>
      <x:c r="O33" s="26" t="str">
        <x:v>50+</x:v>
      </x:c>
      <x:c r="P33" s="23" t="str">
        <x:v>12 hours ago</x:v>
      </x:c>
      <x:c r="Q33" s="23" t="str">
        <x:v>United States</x:v>
      </x:c>
      <x:c r="R33" s="23" t="str">
        <x:v>https://www.upwork.com/jobs/Build-Powered-Zapier-Workflow-for-Automatic-Mail-Processing-Google-Drive-Claude-Discord_~022081965076177154541/?referrer_url_path=find_work_home</x:v>
      </x:c>
      <x:c r="S33" s="23" t="str">
        <x:v>Автоматизация процессов и интеграции</x:v>
      </x:c>
      <x:c r="T33" s="23" t="str">
        <x:v>best_matches</x:v>
      </x:c>
    </x:row>
    <x:row r="34" ht="48" customHeight="1">
      <x:c r="A34" s="26" t="n">
        <x:v>30</x:v>
      </x:c>
      <x:c r="B34" s="23" t="str">
        <x:v>Upwork</x:v>
      </x:c>
      <x:c r="C34" s="23" t="str">
        <x:v>~022082076899341845245</x:v>
      </x:c>
      <x:c r="D34" s="23" t="str">
        <x:v>AI-продукты и full-stack</x:v>
      </x:c>
      <x:c r="E34" s="29" t="n">
        <x:v>85</x:v>
      </x:c>
      <x:c r="F34" s="23" t="str">
        <x:v>80-89% - сильное</x:v>
      </x:c>
      <x:c r="G34" s="23" t="str">
        <x:v>captured - recheck</x:v>
      </x:c>
      <x:c r="H34" s="23" t="str">
        <x:v>hourly</x:v>
      </x:c>
      <x:c r="I34" s="23" t="str">
        <x:v>Full Stack AI Automation Engineer Ai Sales Workflow Platform</x:v>
      </x:c>
      <x:c r="J34" s="23" t="str">
        <x:v>Сервисному бизнесу с 1000+ обращений в месяц нужен AI Sales Agent, который квалифицирует лиды, обновляет GoHighLevel, назначает менеджера, запускает follow-up, бронирует встречи и готовит резюме перед звонком. Стек включает React или Vue, Node.js, n8n, OpenAI или Claude, REST API и PostgreSQL.</x:v>
      </x:c>
      <x:c r="K34" s="23" t="str">
        <x:v>Это почти прямое совпадение со стеком и продуктовой гипотезой Kora: входящие лиды, AI-классификация, CRM-действия, follow-up и интерфейс на React/Node.js. Боль конкретна, объем лидов подтверждает ценность автоматизации.</x:v>
      </x:c>
      <x:c r="L34" s="23" t="str">
        <x:v>Проект большой, рассчитан на 3-6 месяцев, и клиент требует пример уже реализованной AI sales automation. Клиент без подтвержденной оплаты и истории, ставка $25-$47, конкуренция 50+.</x:v>
      </x:c>
      <x:c r="M34" s="23" t="str">
        <x:v>Hourly: $25-$47</x:v>
      </x:c>
      <x:c r="N34" s="23" t="str">
        <x:v>unverified</x:v>
      </x:c>
      <x:c r="O34" s="26" t="str">
        <x:v>50+</x:v>
      </x:c>
      <x:c r="P34" s="23" t="str">
        <x:v>5 hours ago</x:v>
      </x:c>
      <x:c r="Q34" s="23" t="str">
        <x:v>United States</x:v>
      </x:c>
      <x:c r="R34" s="23" t="str">
        <x:v>https://www.upwork.com/jobs/Full-Stack-Automation-Engineer-Sales-Workflow-Platform_~022082076899341845245/?referrer_url_path=find_work_home</x:v>
      </x:c>
      <x:c r="S34" s="23" t="str">
        <x:v>AI-продукты и full-stack</x:v>
      </x:c>
      <x:c r="T34" s="23" t="str">
        <x:v>best_matches</x:v>
      </x:c>
    </x:row>
    <x:row r="35" ht="48" customHeight="1">
      <x:c r="A35" s="26" t="n">
        <x:v>31</x:v>
      </x:c>
      <x:c r="B35" s="23" t="str">
        <x:v>Upwork</x:v>
      </x:c>
      <x:c r="C35" s="23" t="str">
        <x:v>~022080605080475236242</x:v>
      </x:c>
      <x:c r="D35" s="23" t="str">
        <x:v>AI-продукты и full-stack</x:v>
      </x:c>
      <x:c r="E35" s="29" t="n">
        <x:v>85</x:v>
      </x:c>
      <x:c r="F35" s="23" t="str">
        <x:v>80-89% - сильное</x:v>
      </x:c>
      <x:c r="G35" s="23" t="str">
        <x:v>captured - recheck</x:v>
      </x:c>
      <x:c r="H35" s="23" t="str">
        <x:v>hourly</x:v>
      </x:c>
      <x:c r="I35" s="23" t="str">
        <x:v>Full-Stack AI Engineer for Logistics &amp; Supply Chain SaaS Automation &amp; AI Agent</x:v>
      </x:c>
      <x:c r="J35" s="23" t="str">
        <x:v>Нужно долгосрочно разрабатывать AI SaaS для логистики: агенты, автоматизированные процессы, backend API, React-интерфейсы, RAG, внешние интеграции и production-развертывание. Желателен опыт WMS, TMS, shipment tracking, inventory, procurement и ERP.</x:v>
      </x:c>
      <x:c r="K35" s="23" t="str">
        <x:v>Очень сильное техническое совпадение по TypeScript или JavaScript, React, AI-агентам, OpenAI и Anthropic, RAG, API и полноценной SaaS-разработке. Продуктовый контекст и повторно используемые модули близки Kora.</x:v>
      </x:c>
      <x:c r="L35" s="23" t="str">
        <x:v>Потребуются Python или FastAPI и подтвержденная логистическая экспертиза либо убедимый план закрытия этого gap. Ставка $15-35 сравнительно низкая, клиент без истории расходов, загрузка 30+ часов в неделю и более 50 заявок.</x:v>
      </x:c>
      <x:c r="M35" s="23" t="str">
        <x:v>Hourly: $15.00 - $35.00</x:v>
      </x:c>
      <x:c r="N35" s="23" t="str">
        <x:v>verified</x:v>
      </x:c>
      <x:c r="O35" s="26" t="str">
        <x:v>50+</x:v>
      </x:c>
      <x:c r="P35" s="23" t="str">
        <x:v>4 days ago</x:v>
      </x:c>
      <x:c r="Q35" s="23" t="str">
        <x:v>United States</x:v>
      </x:c>
      <x:c r="R35" s="23" t="str">
        <x:v>https://www.upwork.com/jobs/Full-Stack-span-class-highlight-span-Engineer-for-Logistics-amp-Supply-Chain-SaaS-span-class-highlight-Automation-span-amp-span-class-highlight-span-span-class-highlight-Agent-span_~022080605080475236242/?referrer_url_path=/nx/search/jobs/</x:v>
      </x:c>
      <x:c r="S35" s="23" t="str">
        <x:v>AI-продукты и full-stack</x:v>
      </x:c>
      <x:c r="T35" s="23" t="str">
        <x:v>search:AI agent automation:page4</x:v>
      </x:c>
    </x:row>
    <x:row r="36" ht="48" customHeight="1">
      <x:c r="A36" s="26" t="n">
        <x:v>32</x:v>
      </x:c>
      <x:c r="B36" s="23" t="str">
        <x:v>Upwork</x:v>
      </x:c>
      <x:c r="C36" s="23" t="str">
        <x:v>~022081838181027419548</x:v>
      </x:c>
      <x:c r="D36" s="23" t="str">
        <x:v>Автоматизация процессов и интеграции</x:v>
      </x:c>
      <x:c r="E36" s="29" t="n">
        <x:v>85</x:v>
      </x:c>
      <x:c r="F36" s="23" t="str">
        <x:v>80-89% - сильное</x:v>
      </x:c>
      <x:c r="G36" s="23" t="str">
        <x:v>captured - recheck</x:v>
      </x:c>
      <x:c r="H36" s="23" t="str">
        <x:v>hourly</x:v>
      </x:c>
      <x:c r="I36" s="23" t="str">
        <x:v>n8n Automation Developer for Commercial Restoration</x:v>
      </x:c>
      <x:c r="J36" s="23" t="str">
        <x:v>Нужно собрать в n8n MVP, который получает сообщения о пожарах, затоплениях и других происшествиях из открытых источников, очищает и удаляет дубли, извлекает данные через OpenAI, оценивает коммерческую значимость и сохраняет результат в PostgreSQL или Supabase. Для приоритетных событий система должна отправлять email-уведомления и вести базовые логи.</x:v>
      </x:c>
      <x:c r="K36" s="23" t="str">
        <x:v>n8n, JavaScript, REST API, webhooks, OpenAI, PostgreSQL, нормализация, дедупликация и alerts почти полностью совпадают с профильным workflow Kora. Первый milestone ограничен четким MVP и имеет высокую продуктовую переиспользуемость.</x:v>
      </x:c>
      <x:c r="L36" s="23" t="str">
        <x:v>Клиент без подтвержденной оплаты, рейтинга и расходов, нижняя граница ставки всего $5, а конкуренция 50+. Не определены конкретные источники и их условия доступа, что может сильно повлиять на надежность сбора.</x:v>
      </x:c>
      <x:c r="M36" s="23" t="str">
        <x:v>Hourly: $5-$35</x:v>
      </x:c>
      <x:c r="N36" s="23" t="str">
        <x:v>unverified</x:v>
      </x:c>
      <x:c r="O36" s="26" t="str">
        <x:v>50+</x:v>
      </x:c>
      <x:c r="P36" s="23" t="str">
        <x:v>21 hours ago</x:v>
      </x:c>
      <x:c r="Q36" s="23" t="str">
        <x:v>United States</x:v>
      </x:c>
      <x:c r="R36" s="23" t="str">
        <x:v>https://www.upwork.com/jobs/n8n-Automation-Developer-for-Commercial-Restoration_~022081838181027419548/?referrer_url_path=find_work_home</x:v>
      </x:c>
      <x:c r="S36" s="23" t="str">
        <x:v>Автоматизация процессов и интеграции</x:v>
      </x:c>
      <x:c r="T36" s="23" t="str">
        <x:v>best_matches</x:v>
      </x:c>
    </x:row>
    <x:row r="37" ht="48" customHeight="1">
      <x:c r="A37" s="26" t="n">
        <x:v>33</x:v>
      </x:c>
      <x:c r="B37" s="23" t="str">
        <x:v>Upwork</x:v>
      </x:c>
      <x:c r="C37" s="23" t="str">
        <x:v>~022080240455889528745</x:v>
      </x:c>
      <x:c r="D37" s="23" t="str">
        <x:v>AI-агенты и оркестрация</x:v>
      </x:c>
      <x:c r="E37" s="29" t="n">
        <x:v>85</x:v>
      </x:c>
      <x:c r="F37" s="23" t="str">
        <x:v>80-89% - сильное</x:v>
      </x:c>
      <x:c r="G37" s="23" t="str">
        <x:v>captured - recheck</x:v>
      </x:c>
      <x:c r="H37" s="23" t="str">
        <x:v>не указано</x:v>
      </x:c>
      <x:c r="I37" s="23" t="str">
        <x:v>Personal AI Assistant with Telegram, Web Automation and AI Agents</x:v>
      </x:c>
      <x:c r="J37" s="23" t="str">
        <x:v>Нужен персональный Telegram-ассистент, который ищет недвижимость и перевозчиков, связывается по email, назначает встречи, сравнивает предложения, понимает голосовые сообщения и формирует отчеты. Предпочтительный стек включает OpenAI, n8n, Gmail, Google Calendar, браузерную автоматизацию и PostgreSQL.</x:v>
      </x:c>
      <x:c r="K37" s="23" t="str">
        <x:v>Очень сильное совпадение с Telegram-first направлением Kora, агентами, web automation, API, календарем, памятью и выполнением реальных задач.</x:v>
      </x:c>
      <x:c r="L37" s="23" t="str">
        <x:v>Это точный дубль строки 91; клиент без подтвержденной оплаты и истории, а MVP за $1000 охватывает много рискованных внешних действий и требует четких границ автономности.</x:v>
      </x:c>
      <x:c r="M37" s="23" t="str">
        <x:v>$1,000.00</x:v>
      </x:c>
      <x:c r="N37" s="23" t="str">
        <x:v>unverified</x:v>
      </x:c>
      <x:c r="O37" s="26" t="str">
        <x:v>20 to 50</x:v>
      </x:c>
      <x:c r="P37" s="23" t="str">
        <x:v>5 days ago</x:v>
      </x:c>
      <x:c r="Q37" s="23" t="str">
        <x:v>Czech Republic</x:v>
      </x:c>
      <x:c r="R37" s="23" t="str">
        <x:v>https://www.upwork.com/jobs/Personal-span-class-highlight-span-Assistant-with-Telegram-Web-span-class-highlight-Automation-span-and-span-class-highlight-span-span-class-highlight-Agents-span_~022080240455889528745/?referrer_url_path=/nx/search/jobs/</x:v>
      </x:c>
      <x:c r="S37" s="23" t="str">
        <x:v>AI-агенты и оркестрация</x:v>
      </x:c>
      <x:c r="T37" s="23" t="str">
        <x:v>search:AI agent automation:page7</x:v>
      </x:c>
    </x:row>
    <x:row r="38" ht="48" customHeight="1">
      <x:c r="A38" s="26" t="n">
        <x:v>34</x:v>
      </x:c>
      <x:c r="B38" s="23" t="str">
        <x:v>Upwork</x:v>
      </x:c>
      <x:c r="C38" s="23" t="str">
        <x:v>~022080078611169450329</x:v>
      </x:c>
      <x:c r="D38" s="23" t="str">
        <x:v>AI-агенты и оркестрация</x:v>
      </x:c>
      <x:c r="E38" s="29" t="n">
        <x:v>85</x:v>
      </x:c>
      <x:c r="F38" s="23" t="str">
        <x:v>80-89% - сильное</x:v>
      </x:c>
      <x:c r="G38" s="23" t="str">
        <x:v>captured - recheck</x:v>
      </x:c>
      <x:c r="H38" s="23" t="str">
        <x:v>не указано</x:v>
      </x:c>
      <x:c r="I38" s="23" t="str">
        <x:v>Personal AI Assistant with Telegram, Web Automation and AI Agents</x:v>
      </x:c>
      <x:c r="J38" s="23" t="str">
        <x:v>Нужен персональный Telegram-ассистент, который ищет недвижимость и перевозчиков, связывается по email, назначает встречи, сравнивает предложения, понимает голосовые сообщения и формирует отчеты. Предпочтительный стек включает OpenAI, n8n, Gmail, Google Calendar, браузерную автоматизацию и PostgreSQL.</x:v>
      </x:c>
      <x:c r="K38" s="23" t="str">
        <x:v>Очень сильное совпадение с Telegram-first направлением Kora, агентами, web automation, API, календарем, памятью и выполнением реальных задач.</x:v>
      </x:c>
      <x:c r="L38" s="23" t="str">
        <x:v>Это точный дубль строки 88; клиент без подтвержденной оплаты и истории, а MVP за $1000 охватывает много рискованных внешних действий и требует четких границ автономности.</x:v>
      </x:c>
      <x:c r="M38" s="23" t="str">
        <x:v>$1,000.00</x:v>
      </x:c>
      <x:c r="N38" s="23" t="str">
        <x:v>unverified</x:v>
      </x:c>
      <x:c r="O38" s="26" t="str">
        <x:v>20 to 50</x:v>
      </x:c>
      <x:c r="P38" s="23" t="str">
        <x:v>5 days ago</x:v>
      </x:c>
      <x:c r="Q38" s="23" t="str">
        <x:v>Czech Republic</x:v>
      </x:c>
      <x:c r="R38" s="23" t="str">
        <x:v>https://www.upwork.com/jobs/Personal-span-class-highlight-span-Assistant-with-Telegram-Web-span-class-highlight-Automation-span-and-span-class-highlight-span-span-class-highlight-Agents-span_~022080078611169450329/?referrer_url_path=/nx/search/jobs/</x:v>
      </x:c>
      <x:c r="S38" s="23" t="str">
        <x:v>AI-агенты и оркестрация</x:v>
      </x:c>
      <x:c r="T38" s="23" t="str">
        <x:v>search:AI agent automation:page7</x:v>
      </x:c>
    </x:row>
    <x:row r="39" ht="48" customHeight="1">
      <x:c r="A39" s="26" t="n">
        <x:v>35</x:v>
      </x:c>
      <x:c r="B39" s="23" t="str">
        <x:v>Upwork</x:v>
      </x:c>
      <x:c r="C39" s="23" t="str">
        <x:v>~022080428939600210345</x:v>
      </x:c>
      <x:c r="D39" s="23" t="str">
        <x:v>Автоматизация процессов и интеграции</x:v>
      </x:c>
      <x:c r="E39" s="29" t="n">
        <x:v>85</x:v>
      </x:c>
      <x:c r="F39" s="23" t="str">
        <x:v>80-89% - сильное</x:v>
      </x:c>
      <x:c r="G39" s="23" t="str">
        <x:v>captured - recheck</x:v>
      </x:c>
      <x:c r="H39" s="23" t="str">
        <x:v>hourly</x:v>
      </x:c>
      <x:c r="I39" s="23" t="str">
        <x:v>Senior AI Automation Developer</x:v>
      </x:c>
      <x:c r="J39" s="23" t="str">
        <x:v>Ищут старшего разработчика для долгосрочного создания AI-агентов и автоматизаций, связывающих LLM с документами, email, календарями, системами управления проектами, базами и внутренними сервисами. Нужны RAG, structured outputs, tool calling, OAuth, webhooks и n8n, Make, Zapier или другие оркестраторы.</x:v>
      </x:c>
      <x:c r="K39" s="23" t="str">
        <x:v>TypeScript, LLM API, RAG, обработка документов, интеграции и событийные процессы почти полностью совпадают с техническим профилем Давида и направлением Kora. Клиент сильный: подтвержденная оплата, рейтинг 4.5 и более $1 млн расходов.</x:v>
      </x:c>
      <x:c r="L39" s="23" t="str">
        <x:v>Это занятость более шести месяцев и 30+ часов в неделю, а не компактный пилот. Ставка $15-35/час сравнительно низкая для senior-роли, требуется доказанный production-опыт и уже есть 50+ откликов.</x:v>
      </x:c>
      <x:c r="M39" s="23" t="str">
        <x:v>Hourly: $15.00 - $35.00</x:v>
      </x:c>
      <x:c r="N39" s="23" t="str">
        <x:v>verified</x:v>
      </x:c>
      <x:c r="O39" s="26" t="str">
        <x:v>50+</x:v>
      </x:c>
      <x:c r="P39" s="23" t="str">
        <x:v>4 days ago</x:v>
      </x:c>
      <x:c r="Q39" s="23" t="str">
        <x:v>Australia</x:v>
      </x:c>
      <x:c r="R39" s="23" t="str">
        <x:v>https://www.upwork.com/jobs/Senior-span-class-highlight-span-span-class-highlight-Automation-span-Developer_~022080428939600210345/?referrer_url_path=/nx/search/jobs/</x:v>
      </x:c>
      <x:c r="S39" s="23" t="str">
        <x:v>Автоматизация процессов и интеграции</x:v>
      </x:c>
      <x:c r="T39" s="23" t="str">
        <x:v>search:AI agent automation:page4</x:v>
      </x:c>
    </x:row>
    <x:row r="40" ht="48" customHeight="1">
      <x:c r="A40" s="26" t="n">
        <x:v>36</x:v>
      </x:c>
      <x:c r="B40" s="23" t="str">
        <x:v>FL.ru</x:v>
      </x:c>
      <x:c r="C40" s="23" t="str">
        <x:v>5512034</x:v>
      </x:c>
      <x:c r="D40" s="23" t="str">
        <x:v>Вакансии и роли</x:v>
      </x:c>
      <x:c r="E40" s="29" t="n">
        <x:v>82</x:v>
      </x:c>
      <x:c r="F40" s="23" t="str">
        <x:v>80-89% - сильное</x:v>
      </x:c>
      <x:c r="G40" s="23" t="str">
        <x:v>open</x:v>
      </x:c>
      <x:c r="H40" s="23" t="str">
        <x:v>vacancy</x:v>
      </x:c>
      <x:c r="I40" s="23" t="str">
        <x:v>Разработчик ИИ-сервисов и агентов</x:v>
      </x:c>
      <x:c r="J40" s="23" t="str">
        <x:v>Постоянная загрузка на Python, LLM, RAG, AI-агентах и автоматизации бизнес-процессов.</x:v>
      </x:c>
      <x:c r="K40" s="23" t="str">
        <x:v>Метч относится к навыкам Давида, но это вакансия или найм, а не доказательство покупки Kora.</x:v>
      </x:c>
      <x:c r="L40" s="23" t="str">
        <x:v>Это вакансия, а не buyer project demand для Kora. 72 ответов: высокая конкуренция</x:v>
      </x:c>
      <x:c r="M40" s="23" t="str">
        <x:v>от 200 000 ₽</x:v>
      </x:c>
      <x:c r="N40" s="23" t="str">
        <x:v>не показано</x:v>
      </x:c>
      <x:c r="O40" s="26" t="n">
        <x:v>72</x:v>
      </x:c>
      <x:c r="P40" s="23" t="str">
        <x:v>не сохранено</x:v>
      </x:c>
      <x:c r="Q40" s="23" t="str">
        <x:v>RU</x:v>
      </x:c>
      <x:c r="R40" s="23" t="str">
        <x:v>https://www.fl.ru/projects/5512034/razrabotchik-ii-servisov-i-agentov-python-llm-rag--udalnka-postoyannyie-zakazyi.html</x:v>
      </x:c>
      <x:c r="S40" s="23" t="str">
        <x:v>Вакансия / роль</x:v>
      </x:c>
      <x:c r="T40" s="23" t="str">
        <x:v>FL.ru AI category</x:v>
      </x:c>
    </x:row>
    <x:row r="41" ht="48" customHeight="1">
      <x:c r="A41" s="26" t="n">
        <x:v>37</x:v>
      </x:c>
      <x:c r="B41" s="23" t="str">
        <x:v>Upwork</x:v>
      </x:c>
      <x:c r="C41" s="23" t="str">
        <x:v>~022078467296745591239</x:v>
      </x:c>
      <x:c r="D41" s="23" t="str">
        <x:v>AI-агенты и оркестрация</x:v>
      </x:c>
      <x:c r="E41" s="29" t="n">
        <x:v>80</x:v>
      </x:c>
      <x:c r="F41" s="23" t="str">
        <x:v>80-89% - сильное</x:v>
      </x:c>
      <x:c r="G41" s="23" t="str">
        <x:v>captured - recheck</x:v>
      </x:c>
      <x:c r="H41" s="23" t="str">
        <x:v>не указано</x:v>
      </x:c>
      <x:c r="I41" s="23" t="str">
        <x:v>AI Engineer: POC for Agentic AI Automation (LangGraph, Email/WhatsApp Automation)</x:v>
      </x:c>
      <x:c r="J41" s="23" t="str">
        <x:v>Нужен быстрый POC агентной автоматизации для одного или нескольких сценариев: извлечение данных из документов, обработка email, WhatsApp-ответчик и маршрутизация с вызовом инструментов. Результат должен включать рабочий прототип, демонстрацию и краткий разбор ограничений.</x:v>
      </x:c>
      <x:c r="K41" s="23" t="str">
        <x:v>Сильное совпадение по сообщениям, документам, structured output, API и human-in-the-loop, но Python, FastAPI и LangGraph находятся вне текущего core evidence Давида.</x:v>
      </x:c>
      <x:c r="L41" s="23" t="str">
        <x:v>В вакансии явно требуются Python, FastAPI и LangGraph/LangChain, а бюджет $140 выглядит низким даже для POC; клиент новый, конкуренция 20-50.</x:v>
      </x:c>
      <x:c r="M41" s="23" t="str">
        <x:v>$140.00</x:v>
      </x:c>
      <x:c r="N41" s="23" t="str">
        <x:v>verified</x:v>
      </x:c>
      <x:c r="O41" s="26" t="str">
        <x:v>20 to 50</x:v>
      </x:c>
      <x:c r="P41" s="23" t="str">
        <x:v>2 weeks ago</x:v>
      </x:c>
      <x:c r="Q41" s="23" t="str">
        <x:v>Saudi Arabia</x:v>
      </x:c>
      <x:c r="R41" s="23" t="str">
        <x:v>https://www.upwork.com/jobs/span-class-highlight-span-Engineer-POC-for-span-class-highlight-Agentic-span-span-class-highlight-span-span-class-highlight-Automation-span-LangGraph-Email-WhatsApp-span-class-highlight-Automation-span_~022078467296745591239/?referrer_url_path=/nx/search/jobs/</x:v>
      </x:c>
      <x:c r="S41" s="23" t="str">
        <x:v>AI-агенты и оркестрация</x:v>
      </x:c>
      <x:c r="T41" s="23" t="str">
        <x:v>search:AI agent automation:page6</x:v>
      </x:c>
    </x:row>
    <x:row r="42" ht="48" customHeight="1">
      <x:c r="A42" s="26" t="n">
        <x:v>38</x:v>
      </x:c>
      <x:c r="B42" s="23" t="str">
        <x:v>FL.ru</x:v>
      </x:c>
      <x:c r="C42" s="23" t="str">
        <x:v>5515278</x:v>
      </x:c>
      <x:c r="D42" s="23" t="str">
        <x:v>Вакансии и роли</x:v>
      </x:c>
      <x:c r="E42" s="29" t="n">
        <x:v>80</x:v>
      </x:c>
      <x:c r="F42" s="23" t="str">
        <x:v>80-89% - сильное</x:v>
      </x:c>
      <x:c r="G42" s="23" t="str">
        <x:v>open</x:v>
      </x:c>
      <x:c r="H42" s="23" t="str">
        <x:v>vacancy</x:v>
      </x:c>
      <x:c r="I42" s="23" t="str">
        <x:v>AI-инженер / промпт-инженер в штат</x:v>
      </x:c>
      <x:c r="J42" s="23" t="str">
        <x:v>Развитие внутренней AI-системы автоматизации и последующие клиентские проекты.</x:v>
      </x:c>
      <x:c r="K42" s="23" t="str">
        <x:v>Метч относится к навыкам Давида, но это вакансия или найм, а не доказательство покупки Kora.</x:v>
      </x:c>
      <x:c r="L42" s="23" t="str">
        <x:v>Это вакансия, а не buyer project demand для Kora. 17 ответов</x:v>
      </x:c>
      <x:c r="M42" s="23" t="str">
        <x:v>от 30 000 ₽</x:v>
      </x:c>
      <x:c r="N42" s="23" t="str">
        <x:v>не показано</x:v>
      </x:c>
      <x:c r="O42" s="26" t="n">
        <x:v>17</x:v>
      </x:c>
      <x:c r="P42" s="23" t="str">
        <x:v>не сохранено</x:v>
      </x:c>
      <x:c r="Q42" s="23" t="str">
        <x:v>RU</x:v>
      </x:c>
      <x:c r="R42" s="23" t="str">
        <x:v>https://www.fl.ru/projects/5515278/ai-injener---prompt-injener-v-shtat-udalnno.html</x:v>
      </x:c>
      <x:c r="S42" s="23" t="str">
        <x:v>Вакансия / роль</x:v>
      </x:c>
      <x:c r="T42" s="23" t="str">
        <x:v>FL.ru AI category</x:v>
      </x:c>
    </x:row>
    <x:row r="43" ht="48" customHeight="1">
      <x:c r="A43" s="26" t="n">
        <x:v>39</x:v>
      </x:c>
      <x:c r="B43" s="23" t="str">
        <x:v>FL.ru</x:v>
      </x:c>
      <x:c r="C43" s="23" t="str">
        <x:v>5515507</x:v>
      </x:c>
      <x:c r="D43" s="23" t="str">
        <x:v>Вакансии и роли</x:v>
      </x:c>
      <x:c r="E43" s="29" t="n">
        <x:v>80</x:v>
      </x:c>
      <x:c r="F43" s="23" t="str">
        <x:v>80-89% - сильное</x:v>
      </x:c>
      <x:c r="G43" s="23" t="str">
        <x:v>open</x:v>
      </x:c>
      <x:c r="H43" s="23" t="str">
        <x:v>vacancy</x:v>
      </x:c>
      <x:c r="I43" s="23" t="str">
        <x:v>Специалист по n8n и AI-промптам</x:v>
      </x:c>
      <x:c r="J43" s="23" t="str">
        <x:v>Долгосрочная работа над внутренней системой автоматизации бизнес-процессов.</x:v>
      </x:c>
      <x:c r="K43" s="23" t="str">
        <x:v>Метч относится к навыкам Давида, но это вакансия или найм, а не доказательство покупки Kora.</x:v>
      </x:c>
      <x:c r="L43" s="23" t="str">
        <x:v>Это вакансия, а не buyer project demand для Kora. 17 ответов</x:v>
      </x:c>
      <x:c r="M43" s="23" t="str">
        <x:v>до 30 000 ₽</x:v>
      </x:c>
      <x:c r="N43" s="23" t="str">
        <x:v>не показано</x:v>
      </x:c>
      <x:c r="O43" s="26" t="n">
        <x:v>17</x:v>
      </x:c>
      <x:c r="P43" s="23" t="str">
        <x:v>не сохранено</x:v>
      </x:c>
      <x:c r="Q43" s="23" t="str">
        <x:v>RU</x:v>
      </x:c>
      <x:c r="R43" s="23" t="str">
        <x:v>https://www.fl.ru/projects/5515507/ischu-spetsialista-po-n8n-i-ai-promptam-v-dolgosrochnyiy-proekt.html</x:v>
      </x:c>
      <x:c r="S43" s="23" t="str">
        <x:v>Вакансия / роль</x:v>
      </x:c>
      <x:c r="T43" s="23" t="str">
        <x:v>FL.ru AI category</x:v>
      </x:c>
    </x:row>
    <x:row r="44" ht="48" customHeight="1">
      <x:c r="A44" s="26" t="n">
        <x:v>40</x:v>
      </x:c>
      <x:c r="B44" s="23" t="str">
        <x:v>Upwork</x:v>
      </x:c>
      <x:c r="C44" s="23" t="str">
        <x:v>~022081620464434758397</x:v>
      </x:c>
      <x:c r="D44" s="23" t="str">
        <x:v>AI-агенты и оркестрация</x:v>
      </x:c>
      <x:c r="E44" s="29" t="n">
        <x:v>80</x:v>
      </x:c>
      <x:c r="F44" s="23" t="str">
        <x:v>80-89% - сильное</x:v>
      </x:c>
      <x:c r="G44" s="23" t="str">
        <x:v>captured - recheck</x:v>
      </x:c>
      <x:c r="H44" s="23" t="str">
        <x:v>не указано</x:v>
      </x:c>
      <x:c r="I44" s="23" t="str">
        <x:v>Agentic AI Automation Engineer — Python, Node.js &amp; TypeScript</x:v>
      </x:c>
      <x:c r="J44" s="23" t="str">
        <x:v>Нужно улучшить уже интегрированный agentic AI workflow на Python, Node.js и TypeScript: добавить OpenAI или Claude, RAG, structured prompting, tool calling, REST-интеграции, многошаговую бизнес-логику, retries и validation.</x:v>
      </x:c>
      <x:c r="K44" s="23" t="str">
        <x:v>Node.js/TypeScript, React, Claude/OpenAI, агенты, API, RAG и надежность почти полностью совпадают с технической работой Давида и Kora. Scope ограничен улучшением существующей интеграции, а клиент имеет подтвержденную оплату и рейтинг 5.0.</x:v>
      </x:c>
      <x:c r="L44" s="23" t="str">
        <x:v>Текущее состояние интеграции и конкретные критерии завершения не показаны. Бюджет $100 низок для перечисленного production-объема, у клиента всего $100+ расходов и уже 50+ предложений.</x:v>
      </x:c>
      <x:c r="M44" s="23" t="str">
        <x:v>$100.00</x:v>
      </x:c>
      <x:c r="N44" s="23" t="str">
        <x:v>verified</x:v>
      </x:c>
      <x:c r="O44" s="26" t="str">
        <x:v>50+</x:v>
      </x:c>
      <x:c r="P44" s="23" t="str">
        <x:v>yesterday</x:v>
      </x:c>
      <x:c r="Q44" s="23" t="str">
        <x:v>United States</x:v>
      </x:c>
      <x:c r="R44" s="23" t="str">
        <x:v>https://www.upwork.com/jobs/span-class-highlight-Agentic-span-span-class-highlight-span-span-class-highlight-Automation-span-Engineer-Python-Node-amp-TypeScript_~022081620464434758397/?referrer_url_path=/nx/search/jobs/</x:v>
      </x:c>
      <x:c r="S44" s="23" t="str">
        <x:v>AI-агенты и оркестрация</x:v>
      </x:c>
      <x:c r="T44" s="23" t="str">
        <x:v>search:AI agent automation:page1</x:v>
      </x:c>
    </x:row>
    <x:row r="45" ht="48" customHeight="1">
      <x:c r="A45" s="26" t="n">
        <x:v>41</x:v>
      </x:c>
      <x:c r="B45" s="23" t="str">
        <x:v>Upwork</x:v>
      </x:c>
      <x:c r="C45" s="23" t="str">
        <x:v>~022081979062959216028</x:v>
      </x:c>
      <x:c r="D45" s="23" t="str">
        <x:v>AI-агенты и оркестрация</x:v>
      </x:c>
      <x:c r="E45" s="29" t="n">
        <x:v>80</x:v>
      </x:c>
      <x:c r="F45" s="23" t="str">
        <x:v>80-89% - сильное</x:v>
      </x:c>
      <x:c r="G45" s="23" t="str">
        <x:v>captured - recheck</x:v>
      </x:c>
      <x:c r="H45" s="23" t="str">
        <x:v>не указано</x:v>
      </x:c>
      <x:c r="I45" s="23" t="str">
        <x:v>Ai Agents and business automation specialist</x:v>
      </x:c>
      <x:c r="J45" s="23" t="str">
        <x:v>Нужно выявлять повторяющиеся бизнес-процессы и превращать их в production AI-агентов для исследований, обработки данных, поддержки, отчетности и внутренних операций. Требуются API, CRM, базы, правила, human approval, логи, мониторинг, retries и документация.</x:v>
      </x:c>
      <x:c r="K45" s="23" t="str">
        <x:v>Архитектура почти точно отражает продуктовую гипотезу Kora: многошаговые агенты, tool calling, структурированные outputs, интеграции, контроль человеком и эксплуатационная надежность. Бюджет $4,800 и возможность долгосрочной работы делают сигнал коммерчески интересным.</x:v>
      </x:c>
      <x:c r="L45" s="23" t="str">
        <x:v>Клиент не подтвердил оплату, не имеет расходов и рейтинга, а предложений уже 50+. Первый этап фактически включает широкий процессный аудит, поэтому без жестко ограниченного пилота легко получить неопределенный или чрезмерный scope.</x:v>
      </x:c>
      <x:c r="M45" s="23" t="str">
        <x:v>$4,800.00</x:v>
      </x:c>
      <x:c r="N45" s="23" t="str">
        <x:v>unverified</x:v>
      </x:c>
      <x:c r="O45" s="26" t="str">
        <x:v>50+</x:v>
      </x:c>
      <x:c r="P45" s="23" t="str">
        <x:v>11 hours ago</x:v>
      </x:c>
      <x:c r="Q45" s="23" t="str">
        <x:v>United States</x:v>
      </x:c>
      <x:c r="R45" s="23" t="str">
        <x:v>https://www.upwork.com/jobs/span-class-highlight-span-span-class-highlight-Agents-span-and-business-span-class-highlight-automation-span-specialist_~022081979062959216028/?referrer_url_path=/nx/search/jobs/</x:v>
      </x:c>
      <x:c r="S45" s="23" t="str">
        <x:v>AI-агенты и оркестрация</x:v>
      </x:c>
      <x:c r="T45" s="23" t="str">
        <x:v>search:AI agent automation:page1</x:v>
      </x:c>
    </x:row>
    <x:row r="46" ht="48" customHeight="1">
      <x:c r="A46" s="26" t="n">
        <x:v>42</x:v>
      </x:c>
      <x:c r="B46" s="23" t="str">
        <x:v>Upwork</x:v>
      </x:c>
      <x:c r="C46" s="23" t="str">
        <x:v>~022079213925805439739</x:v>
      </x:c>
      <x:c r="D46" s="23" t="str">
        <x:v>Автоматизация процессов и интеграции</x:v>
      </x:c>
      <x:c r="E46" s="29" t="n">
        <x:v>80</x:v>
      </x:c>
      <x:c r="F46" s="23" t="str">
        <x:v>80-89% - сильное</x:v>
      </x:c>
      <x:c r="G46" s="23" t="str">
        <x:v>captured - recheck</x:v>
      </x:c>
      <x:c r="H46" s="23" t="str">
        <x:v>hourly</x:v>
      </x:c>
      <x:c r="I46" s="23" t="str">
        <x:v>AI automation expert.</x:v>
      </x:c>
      <x:c r="J46" s="23" t="str">
        <x:v>Бухгалтерская и налоговая фирма хочет автоматизировать продажи, CRM, email, запись, onboarding, сбор и OCR-обработку документов, внутреннюю базу знаний и отчетность. Стек включает OpenAI, Python, n8n, QuickBooks, TaxDome, Google Workspace и другие бизнес-системы.</x:v>
      </x:c>
      <x:c r="K46" s="23" t="str">
        <x:v>Сильное пересечение с Kora по агентам, CRM, n8n, сообщениям, документам, OCR, API и внутреннему knowledge assistant; клиент верифицирован и имеет рейтинг 5.0.</x:v>
      </x:c>
      <x:c r="L46" s="23" t="str">
        <x:v>Объем слишком широк для заявленного периода менее месяца, финансовые данные требуют безопасности и отраслевой компетенции; уже 50+ предложений, расходы клиента пока только $400+.</x:v>
      </x:c>
      <x:c r="M46" s="23" t="str">
        <x:v>Hourly</x:v>
      </x:c>
      <x:c r="N46" s="23" t="str">
        <x:v>verified</x:v>
      </x:c>
      <x:c r="O46" s="26" t="str">
        <x:v>50+</x:v>
      </x:c>
      <x:c r="P46" s="23" t="str">
        <x:v>last week</x:v>
      </x:c>
      <x:c r="Q46" s="23" t="str">
        <x:v>United States</x:v>
      </x:c>
      <x:c r="R46" s="23" t="str">
        <x:v>https://www.upwork.com/jobs/span-class-highlight-span-span-class-highlight-automation-span-expert_~022079213925805439739/?referrer_url_path=/nx/search/jobs/</x:v>
      </x:c>
      <x:c r="S46" s="23" t="str">
        <x:v>Автоматизация процессов и интеграции</x:v>
      </x:c>
      <x:c r="T46" s="23" t="str">
        <x:v>search:AI agent automation:page8</x:v>
      </x:c>
    </x:row>
    <x:row r="47" ht="48" customHeight="1">
      <x:c r="A47" s="26" t="n">
        <x:v>43</x:v>
      </x:c>
      <x:c r="B47" s="23" t="str">
        <x:v>Upwork</x:v>
      </x:c>
      <x:c r="C47" s="23" t="str">
        <x:v>~022081084136744384402</x:v>
      </x:c>
      <x:c r="D47" s="23" t="str">
        <x:v>Автоматизация процессов и интеграции</x:v>
      </x:c>
      <x:c r="E47" s="29" t="n">
        <x:v>80</x:v>
      </x:c>
      <x:c r="F47" s="23" t="str">
        <x:v>80-89% - сильное</x:v>
      </x:c>
      <x:c r="G47" s="23" t="str">
        <x:v>captured - recheck</x:v>
      </x:c>
      <x:c r="H47" s="23" t="str">
        <x:v>hourly</x:v>
      </x:c>
      <x:c r="I47" s="23" t="str">
        <x:v>AI Automation Specialist &amp; Technical Assistant</x:v>
      </x:c>
      <x:c r="J47" s="23" t="str">
        <x:v>Ищут технического помощника, который самостоятельно превращает операционные проблемы в AI-агентов, n8n или Make процессы, CRM и Google Workspace интеграции, обработку документов, research-пайплайны и внутренние инструменты. Работа также включает диагностику существующих автоматизаций, тестирование, документацию и рекомендации.</x:v>
      </x:c>
      <x:c r="K47" s="23" t="str">
        <x:v>Агенты, Codex и Claude Code, JavaScript, API, CRM, документы, OCR и самостоятельное ведение автоматизаций очень хорошо совпадают с практическим профилем Давида. Клиент имеет подтвержденную оплату, рейтинг 5.0 и более $4000 расходов; тест заявлен как платный.</x:v>
      </x:c>
      <x:c r="L47" s="23" t="str">
        <x:v>Это смешанная долгосрочная роль на 30+ часов в неделю с техническими, исследовательскими и ассистентскими обязанностями, а ставка не указана. Есть проекты с юридическими и другими чувствительными документами, откликов 50+.</x:v>
      </x:c>
      <x:c r="M47" s="23" t="str">
        <x:v>Hourly</x:v>
      </x:c>
      <x:c r="N47" s="23" t="str">
        <x:v>verified</x:v>
      </x:c>
      <x:c r="O47" s="26" t="str">
        <x:v>50+</x:v>
      </x:c>
      <x:c r="P47" s="23" t="str">
        <x:v>3 days ago</x:v>
      </x:c>
      <x:c r="Q47" s="23" t="str">
        <x:v>USA</x:v>
      </x:c>
      <x:c r="R47" s="23" t="str">
        <x:v>https://www.upwork.com/jobs/span-class-highlight-span-span-class-highlight-Automation-span-Specialist-amp-Technical-Assistant_~022081084136744384402/?referrer_url_path=/nx/search/jobs/</x:v>
      </x:c>
      <x:c r="S47" s="23" t="str">
        <x:v>Автоматизация процессов и интеграции</x:v>
      </x:c>
      <x:c r="T47" s="23" t="str">
        <x:v>search:AI agent automation:page6</x:v>
      </x:c>
    </x:row>
    <x:row r="48" ht="48" customHeight="1">
      <x:c r="A48" s="26" t="n">
        <x:v>44</x:v>
      </x:c>
      <x:c r="B48" s="23" t="str">
        <x:v>Upwork</x:v>
      </x:c>
      <x:c r="C48" s="23" t="str">
        <x:v>~022078850501176828106</x:v>
      </x:c>
      <x:c r="D48" s="23" t="str">
        <x:v>Автоматизация процессов и интеграции</x:v>
      </x:c>
      <x:c r="E48" s="29" t="n">
        <x:v>80</x:v>
      </x:c>
      <x:c r="F48" s="23" t="str">
        <x:v>80-89% - сильное</x:v>
      </x:c>
      <x:c r="G48" s="23" t="str">
        <x:v>captured - recheck</x:v>
      </x:c>
      <x:c r="H48" s="23" t="str">
        <x:v>hourly</x:v>
      </x:c>
      <x:c r="I48" s="23" t="str">
        <x:v>AI System Architect / Executive Automation Engineer</x:v>
      </x:c>
      <x:c r="J48" s="23" t="str">
        <x:v>Предприниматель хочет поэтапно создать личную AI-операционную систему для нескольких компаний: объединить почту, календари, документы, финансы, знания, задачи и специализированных агентов. Первым этапом будет аудит текущих систем и разработка дорожной карты.</x:v>
      </x:c>
      <x:c r="K48" s="23" t="str">
        <x:v>Высокий technical fit по агентам, RAG, документам, OpenAI/Claude, n8n, API и бизнес-автоматизации; клиент с подтвержденной историей и долгосрочным намерением.</x:v>
      </x:c>
      <x:c r="L48" s="23" t="str">
        <x:v>Слишком широкий контур для одного исполнителя, нужен сильный опыт Microsoft 365, финансовых и корпоративных интеграций; 30+ часов в неделю и 50+ предложений.</x:v>
      </x:c>
      <x:c r="M48" s="23" t="str">
        <x:v>Hourly: $20.00 - $60.00</x:v>
      </x:c>
      <x:c r="N48" s="23" t="str">
        <x:v>verified</x:v>
      </x:c>
      <x:c r="O48" s="26" t="str">
        <x:v>50+</x:v>
      </x:c>
      <x:c r="P48" s="23" t="str">
        <x:v>last week</x:v>
      </x:c>
      <x:c r="Q48" s="23" t="str">
        <x:v>Switzerland</x:v>
      </x:c>
      <x:c r="R48" s="23" t="str">
        <x:v>https://www.upwork.com/jobs/span-class-highlight-span-System-Architect-Executive-span-class-highlight-Automation-span-Engineer_~022078850501176828106/?referrer_url_path=/nx/search/jobs/</x:v>
      </x:c>
      <x:c r="S48" s="23" t="str">
        <x:v>Автоматизация процессов и интеграции</x:v>
      </x:c>
      <x:c r="T48" s="23" t="str">
        <x:v>search:AI agent automation:page6</x:v>
      </x:c>
    </x:row>
    <x:row r="49" ht="48" customHeight="1">
      <x:c r="A49" s="26" t="n">
        <x:v>45</x:v>
      </x:c>
      <x:c r="B49" s="23" t="str">
        <x:v>Upwork</x:v>
      </x:c>
      <x:c r="C49" s="23" t="str">
        <x:v>~022082145570552293800</x:v>
      </x:c>
      <x:c r="D49" s="23" t="str">
        <x:v>AI-продукты и full-stack</x:v>
      </x:c>
      <x:c r="E49" s="29" t="n">
        <x:v>80</x:v>
      </x:c>
      <x:c r="F49" s="23" t="str">
        <x:v>80-89% - сильное</x:v>
      </x:c>
      <x:c r="G49" s="23" t="str">
        <x:v>captured - recheck</x:v>
      </x:c>
      <x:c r="H49" s="23" t="str">
        <x:v>не указано</x:v>
      </x:c>
      <x:c r="I49" s="23" t="str">
        <x:v>Full-Stack Developer (AI vibe coding/Automation Specialist) – Anthropic Claude API, Agentic.</x:v>
      </x:c>
      <x:c r="J49" s="23" t="str">
        <x:v>Нужно строить full-stack внутренние инструменты и agentic workflows на Claude API: React или Next.js, Node.js/TypeScript либо Python, базы данных, tool calling, RAG, MCP, внешние API и CI/CD. Также ожидаются guardrails, контроль токенов и надежность длительных AI-задач.</x:v>
      </x:c>
      <x:c r="K49" s="23" t="str">
        <x:v>Стек почти напрямую совпадает с Давидом и Kora: Claude, агенты, Node.js/TypeScript, React, API, MCP, RAG и надежные workflow. У клиента подтвержденная оплата, рейтинг 5.0, $6K+ расходов и только 5-10 предложений.</x:v>
      </x:c>
      <x:c r="L49" s="23" t="str">
        <x:v>Заявленный объем похож на полноценную production-платформу, но фиксированный бюджет всего $100, поэтому экономика и границы проекта выглядят несогласованно. Клиент требует ссылки на релевантные публичные работы и подтвержденный опыт Claude tool calling.</x:v>
      </x:c>
      <x:c r="M49" s="23" t="str">
        <x:v>$100</x:v>
      </x:c>
      <x:c r="N49" s="23" t="str">
        <x:v>verified</x:v>
      </x:c>
      <x:c r="O49" s="26" t="str">
        <x:v>5 to 10</x:v>
      </x:c>
      <x:c r="P49" s="23" t="str">
        <x:v>45 minutes ago</x:v>
      </x:c>
      <x:c r="Q49" s="23" t="str">
        <x:v>India</x:v>
      </x:c>
      <x:c r="R49" s="23" t="str">
        <x:v>https://www.upwork.com/jobs/Full-Stack-Developer-vibe-coding-Automation-Specialist-Anthropic-Claude-API-Agentic_~022082145570552293800/?referrer_url_path=find_work_home</x:v>
      </x:c>
      <x:c r="S49" s="23" t="str">
        <x:v>AI-продукты и full-stack</x:v>
      </x:c>
      <x:c r="T49" s="23" t="str">
        <x:v>best_matches</x:v>
      </x:c>
    </x:row>
    <x:row r="50" ht="48" customHeight="1">
      <x:c r="A50" s="26" t="n">
        <x:v>46</x:v>
      </x:c>
      <x:c r="B50" s="23" t="str">
        <x:v>Upwork</x:v>
      </x:c>
      <x:c r="C50" s="23" t="str">
        <x:v>~022081456862377359533</x:v>
      </x:c>
      <x:c r="D50" s="23" t="str">
        <x:v>Контент и медиа</x:v>
      </x:c>
      <x:c r="E50" s="29" t="n">
        <x:v>80</x:v>
      </x:c>
      <x:c r="F50" s="23" t="str">
        <x:v>80-89% - сильное</x:v>
      </x:c>
      <x:c r="G50" s="23" t="str">
        <x:v>captured - recheck</x:v>
      </x:c>
      <x:c r="H50" s="23" t="str">
        <x:v>не указано</x:v>
      </x:c>
      <x:c r="I50" s="23" t="str">
        <x:v>Hermes Agent developer for SEO automation</x:v>
      </x:c>
      <x:c r="J50" s="23" t="str">
        <x:v>Требуется развернуть Hermes Agent и построить многопользовательскую SEO-систему для двух независимых бизнесов: исследования, кластеры ключей, контент, WordPress-черновики, Telegram-согласование, мониторинг и аудит. Данные, учетные записи, память и workflow каждого tenant должны быть строго изолированы.</x:v>
      </x:c>
      <x:c r="K50" s="23" t="str">
        <x:v>Сильный fit по агентной архитектуре, API, Telegram, human-in-the-loop, журналам и повторно используемому multi-tenant продукту. Требования и acceptance tests описаны очень подробно.</x:v>
      </x:c>
      <x:c r="L50" s="23" t="str">
        <x:v>Нужны знания Hermes, WordPress, Google Search Console, DataForSEO и SEO-процессов, а также серьезная безопасность tenant isolation. Объем до 120 часов выглядит несоразмерным фиксированному бюджету $750, конкуренция 20-50 заявок.</x:v>
      </x:c>
      <x:c r="M50" s="23" t="str">
        <x:v>$750.00</x:v>
      </x:c>
      <x:c r="N50" s="23" t="str">
        <x:v>verified</x:v>
      </x:c>
      <x:c r="O50" s="26" t="str">
        <x:v>20 to 50</x:v>
      </x:c>
      <x:c r="P50" s="23" t="str">
        <x:v>2 days ago</x:v>
      </x:c>
      <x:c r="Q50" s="23" t="str">
        <x:v>United States</x:v>
      </x:c>
      <x:c r="R50" s="23" t="str">
        <x:v>https://www.upwork.com/jobs/Hermes-span-class-highlight-Agent-span-developer-for-SEO-span-class-highlight-automation-span_~022081456862377359533/?referrer_url_path=/nx/search/jobs/</x:v>
      </x:c>
      <x:c r="S50" s="23" t="str">
        <x:v>Контент и маркетинговая автоматизация</x:v>
      </x:c>
      <x:c r="T50" s="23" t="str">
        <x:v>search:AI agent automation:page2</x:v>
      </x:c>
    </x:row>
    <x:row r="51" ht="48" customHeight="1">
      <x:c r="A51" s="26" t="n">
        <x:v>47</x:v>
      </x:c>
      <x:c r="B51" s="23" t="str">
        <x:v>Upwork</x:v>
      </x:c>
      <x:c r="C51" s="23" t="str">
        <x:v>~022082116475484824757</x:v>
      </x:c>
      <x:c r="D51" s="23" t="str">
        <x:v>RAG и базы знаний</x:v>
      </x:c>
      <x:c r="E51" s="29" t="n">
        <x:v>80</x:v>
      </x:c>
      <x:c r="F51" s="23" t="str">
        <x:v>80-89% - сильное</x:v>
      </x:c>
      <x:c r="G51" s="23" t="str">
        <x:v>captured - recheck</x:v>
      </x:c>
      <x:c r="H51" s="23" t="str">
        <x:v>hourly</x:v>
      </x:c>
      <x:c r="I51" s="23" t="str">
        <x:v>Hive Second Brains: Shared Agentic Knowledge/Ontology Infrastructure + Graph RAG System</x:v>
      </x:c>
      <x:c r="J51" s="23" t="str">
        <x:v>Медиа-компании нужна общая база знаний из Slack, Notion, Zoom и записей встреч с извлечением решений, задач, владельцев и сроков. Система должна поддерживать Graph RAG, поиск через Slack, связи между источниками, ролевой доступ и более 200 одновременных пользователей.</x:v>
      </x:c>
      <x:c r="K51" s="23" t="str">
        <x:v>RAG, LLM-извлечение, Slack API, векторный поиск и контекст между источниками хорошо соответствуют AI и интеграционному профилю. Клиент очень сильный: подтвержденная оплата, рейтинг 4,7, более $2M расходов и ставка $50.</x:v>
      </x:c>
      <x:c r="L51" s="23" t="str">
        <x:v>Это большая enterprise-система на 30+ часов в неделю и более шести месяцев, а Graph RAG, RBAC и масштаб 200 пользователей повышают архитектурную сложность. Уже 50+ предложений.</x:v>
      </x:c>
      <x:c r="M51" s="23" t="str">
        <x:v>Hourly: $50</x:v>
      </x:c>
      <x:c r="N51" s="23" t="str">
        <x:v>verified</x:v>
      </x:c>
      <x:c r="O51" s="26" t="str">
        <x:v>50+</x:v>
      </x:c>
      <x:c r="P51" s="23" t="str">
        <x:v>2 hours ago</x:v>
      </x:c>
      <x:c r="Q51" s="23" t="str">
        <x:v>United States</x:v>
      </x:c>
      <x:c r="R51" s="23" t="str">
        <x:v>https://www.upwork.com/jobs/Hive-Second-Brains-Shared-Agentic-Knowledge-Ontology-Infrastructure-Graph-RAG-System_~022082116475484824757/?referrer_url_path=find_work_home</x:v>
      </x:c>
      <x:c r="S51" s="23" t="str">
        <x:v>RAG и базы знаний</x:v>
      </x:c>
      <x:c r="T51" s="23" t="str">
        <x:v>best_matches</x:v>
      </x:c>
    </x:row>
    <x:row r="52" ht="48" customHeight="1">
      <x:c r="A52" s="26" t="n">
        <x:v>48</x:v>
      </x:c>
      <x:c r="B52" s="23" t="str">
        <x:v>Upwork</x:v>
      </x:c>
      <x:c r="C52" s="23" t="str">
        <x:v>~022074277236675775197</x:v>
      </x:c>
      <x:c r="D52" s="23" t="str">
        <x:v>AI-агенты и оркестрация</x:v>
      </x:c>
      <x:c r="E52" s="29" t="n">
        <x:v>80</x:v>
      </x:c>
      <x:c r="F52" s="23" t="str">
        <x:v>80-89% - сильное</x:v>
      </x:c>
      <x:c r="G52" s="23" t="str">
        <x:v>captured - recheck</x:v>
      </x:c>
      <x:c r="H52" s="23" t="str">
        <x:v>hourly</x:v>
      </x:c>
      <x:c r="I52" s="23" t="str">
        <x:v>Lead AI Automation Engineer (AI Agents &amp; Business Systems)</x:v>
      </x:c>
      <x:c r="J52" s="23" t="str">
        <x:v>Мебельная компания ищет долгосрочного инженера для AI-операционной системы, объединяющей Odoo, CRM, аналитику, email и другие данные. Требуются агенты, workflow, приоритетные списки, управленческие рекомендации и компактные dashboards.</x:v>
      </x:c>
      <x:c r="K52" s="23" t="str">
        <x:v>Очень сильное совпадение по AI-агентам, OpenAI/Claude, API, n8n, данным и автоматизации бизнес-процессов с повторно используемыми Kora-модулями.</x:v>
      </x:c>
      <x:c r="L52" s="23" t="str">
        <x:v>Роль широкая и долгосрочная, Odoo и data engineering являются отдельными требованиями; у клиента хорошая история, но уже 50+ предложений.</x:v>
      </x:c>
      <x:c r="M52" s="23" t="str">
        <x:v>Hourly: $10.00 - $80.00</x:v>
      </x:c>
      <x:c r="N52" s="23" t="str">
        <x:v>verified</x:v>
      </x:c>
      <x:c r="O52" s="26" t="str">
        <x:v>50+</x:v>
      </x:c>
      <x:c r="P52" s="23" t="str">
        <x:v>3 weeks ago</x:v>
      </x:c>
      <x:c r="Q52" s="23" t="str">
        <x:v>Australia</x:v>
      </x:c>
      <x:c r="R52" s="23" t="str">
        <x:v>https://www.upwork.com/jobs/Lead-span-class-highlight-span-span-class-highlight-Automation-span-Engineer-span-class-highlight-span-span-class-highlight-Agents-span-amp-Business-Systems_~022074277236675775197/?referrer_url_path=/nx/search/jobs/</x:v>
      </x:c>
      <x:c r="S52" s="23" t="str">
        <x:v>AI-агенты и оркестрация</x:v>
      </x:c>
      <x:c r="T52" s="23" t="str">
        <x:v>search:AI agent automation:page7</x:v>
      </x:c>
    </x:row>
    <x:row r="53" ht="48" customHeight="1">
      <x:c r="A53" s="26" t="n">
        <x:v>49</x:v>
      </x:c>
      <x:c r="B53" s="23" t="str">
        <x:v>Upwork</x:v>
      </x:c>
      <x:c r="C53" s="23" t="str">
        <x:v>~022081981698283788279</x:v>
      </x:c>
      <x:c r="D53" s="23" t="str">
        <x:v>Чат-боты, поддержка и CRM</x:v>
      </x:c>
      <x:c r="E53" s="29" t="n">
        <x:v>80</x:v>
      </x:c>
      <x:c r="F53" s="23" t="str">
        <x:v>80-89% - сильное</x:v>
      </x:c>
      <x:c r="G53" s="23" t="str">
        <x:v>captured - recheck</x:v>
      </x:c>
      <x:c r="H53" s="23" t="str">
        <x:v>hourly</x:v>
      </x:c>
      <x:c r="I53" s="23" t="str">
        <x:v>WhatsApp bot giving wrong answers, need small fix</x:v>
      </x:c>
      <x:c r="J53" s="23" t="str">
        <x:v>Нужно диагностировать и точечно исправить WhatsApp-бота на Make.com и OpenAI API, который начал неправильно отвечать клиентам о статусе заказов. Клиент просит найти ошибку в промпте или логике сценария без полной перестройки.</x:v>
      </x:c>
      <x:c r="K53" s="23" t="str">
        <x:v>Небольшая диагностика LLM-workflow, проверка логики и повышение надежности очень близки к агентной инженерии Давида и могут усилить направление Kora по контролю качества ответов. Задача конкретная, короткая, а клиент подтвержден, имеет рейтинг 5.0 и $1K+ расходов.</x:v>
      </x:c>
      <x:c r="L53" s="23" t="str">
        <x:v>Клиент просит именно практический опыт с Make.com и WhatsApp, который не подтвержден. Первопричина пока неизвестна, ставка не показана, конкуренция 20-50 предложений.</x:v>
      </x:c>
      <x:c r="M53" s="23" t="str">
        <x:v>Hourly</x:v>
      </x:c>
      <x:c r="N53" s="23" t="str">
        <x:v>verified</x:v>
      </x:c>
      <x:c r="O53" s="26" t="str">
        <x:v>20 to 50</x:v>
      </x:c>
      <x:c r="P53" s="23" t="str">
        <x:v>11 hours ago</x:v>
      </x:c>
      <x:c r="Q53" s="23" t="str">
        <x:v>Nigeria</x:v>
      </x:c>
      <x:c r="R53" s="23" t="str">
        <x:v>https://www.upwork.com/jobs/WhatsApp-bot-giving-wrong-answers-need-small-fix_~022081981698283788279/?referrer_url_path=find_work_home</x:v>
      </x:c>
      <x:c r="S53" s="23" t="str">
        <x:v>Чат-боты, поддержка и CRM</x:v>
      </x:c>
      <x:c r="T53" s="23" t="str">
        <x:v>best_matches</x:v>
      </x:c>
    </x:row>
    <x:row r="54" ht="48" customHeight="1">
      <x:c r="A54" s="26" t="n">
        <x:v>50</x:v>
      </x:c>
      <x:c r="B54" s="23" t="str">
        <x:v>FL.ru</x:v>
      </x:c>
      <x:c r="C54" s="23" t="str">
        <x:v>5514482</x:v>
      </x:c>
      <x:c r="D54" s="23" t="str">
        <x:v>AI-продукты и full-stack</x:v>
      </x:c>
      <x:c r="E54" s="29" t="n">
        <x:v>78</x:v>
      </x:c>
      <x:c r="F54" s="23" t="str">
        <x:v>70-79% - хорошее</x:v>
      </x:c>
      <x:c r="G54" s="23" t="str">
        <x:v>open</x:v>
      </x:c>
      <x:c r="H54" s="23" t="str">
        <x:v>project</x:v>
      </x:c>
      <x:c r="I54" s="23" t="str">
        <x:v>Платформа с AI</x:v>
      </x:c>
      <x:c r="J54" s="23" t="str">
        <x:v>B2B-платформа поиска поставщиков по отдельному техническому заданию.</x:v>
      </x:c>
      <x:c r="K54" s="23" t="str">
        <x:v>Частичное или слабое совпадение. Использовать только как дополнительный сигнал, не как приоритетный лид.</x:v>
      </x:c>
      <x:c r="L54" s="23" t="str">
        <x:v>14 ответов</x:v>
      </x:c>
      <x:c r="M54" s="23" t="str">
        <x:v>100 000</x:v>
      </x:c>
      <x:c r="N54" s="23" t="str">
        <x:v>не показано</x:v>
      </x:c>
      <x:c r="O54" s="26" t="n">
        <x:v>14</x:v>
      </x:c>
      <x:c r="P54" s="23" t="str">
        <x:v>не сохранено</x:v>
      </x:c>
      <x:c r="Q54" s="23" t="str">
        <x:v>RU</x:v>
      </x:c>
      <x:c r="R54" s="23" t="str">
        <x:v>https://www.fl.ru/projects/5514482/platforma-s-ai.html</x:v>
      </x:c>
      <x:c r="S54" s="23" t="str">
        <x:v>AI-продукт / full-stack</x:v>
      </x:c>
      <x:c r="T54" s="23" t="str">
        <x:v>FL.ru AI category</x:v>
      </x:c>
    </x:row>
    <x:row r="55" ht="48" customHeight="1">
      <x:c r="A55" s="26" t="n">
        <x:v>51</x:v>
      </x:c>
      <x:c r="B55" s="23" t="str">
        <x:v>FL.ru</x:v>
      </x:c>
      <x:c r="C55" s="23" t="str">
        <x:v>5515270</x:v>
      </x:c>
      <x:c r="D55" s="23" t="str">
        <x:v>Документы и данные</x:v>
      </x:c>
      <x:c r="E55" s="29" t="n">
        <x:v>75</x:v>
      </x:c>
      <x:c r="F55" s="23" t="str">
        <x:v>70-79% - хорошее</x:v>
      </x:c>
      <x:c r="G55" s="23" t="str">
        <x:v>open</x:v>
      </x:c>
      <x:c r="H55" s="23" t="str">
        <x:v>project</x:v>
      </x:c>
      <x:c r="I55" s="23" t="str">
        <x:v>Обработка и преобразование большого объема текста</x:v>
      </x:c>
      <x:c r="J55" s="23" t="str">
        <x:v>Система должна устойчиво обрабатывать большие тексты, где текущий промпт Claude ломается.</x:v>
      </x:c>
      <x:c r="K55" s="23" t="str">
        <x:v>Совпадает с сильными сторонами Давида в автоматизации, API и контролируемой обработке данных. Нужен узкий acceptance test.</x:v>
      </x:c>
      <x:c r="L55" s="23" t="str">
        <x:v>12 ответов; 747 ₽ - критический scope-budget mismatch для надежной обработки больших текстов.</x:v>
      </x:c>
      <x:c r="M55" s="23" t="str">
        <x:v>747</x:v>
      </x:c>
      <x:c r="N55" s="23" t="str">
        <x:v>не показано</x:v>
      </x:c>
      <x:c r="O55" s="26" t="n">
        <x:v>12</x:v>
      </x:c>
      <x:c r="P55" s="23" t="str">
        <x:v>не сохранено</x:v>
      </x:c>
      <x:c r="Q55" s="23" t="str">
        <x:v>RU</x:v>
      </x:c>
      <x:c r="R55" s="23" t="str">
        <x:v>https://www.fl.ru/projects/5515270/obrabotka-i-preobrazovanie-bolshogo-obema-teksta.html</x:v>
      </x:c>
      <x:c r="S55" s="23" t="str">
        <x:v>Документы / данные</x:v>
      </x:c>
      <x:c r="T55" s="23" t="str">
        <x:v>FL.ru AI category</x:v>
      </x:c>
    </x:row>
    <x:row r="56" ht="48" customHeight="1">
      <x:c r="A56" s="26" t="n">
        <x:v>52</x:v>
      </x:c>
      <x:c r="B56" s="23" t="str">
        <x:v>Upwork</x:v>
      </x:c>
      <x:c r="C56" s="23" t="str">
        <x:v>~022080037748505517610</x:v>
      </x:c>
      <x:c r="D56" s="23" t="str">
        <x:v>Чат-боты, поддержка и CRM</x:v>
      </x:c>
      <x:c r="E56" s="29" t="n">
        <x:v>75</x:v>
      </x:c>
      <x:c r="F56" s="23" t="str">
        <x:v>70-79% - хорошее</x:v>
      </x:c>
      <x:c r="G56" s="23" t="str">
        <x:v>captured - recheck</x:v>
      </x:c>
      <x:c r="H56" s="23" t="str">
        <x:v>не указано</x:v>
      </x:c>
      <x:c r="I56" s="23" t="str">
        <x:v>Agentic AI Customer Support System for Real Estate Business</x:v>
      </x:c>
      <x:c r="J56" s="23" t="str">
        <x:v>Для агентства недвижимости требуется conversational sales-агент: отвечать на вопросы, квалифицировать лидов, отрабатывать типовые возражения, назначать встречи и передавать данные и историю разговора в CRM. Возможен чат и голосовой канал.</x:v>
      </x:c>
      <x:c r="K56" s="23" t="str">
        <x:v>Хорошее совпадение по AI-агенту, CRM, квалификации входящих лидов, календарю и последующим автоматизациям; механика хорошо переиспользуется в Kora.</x:v>
      </x:c>
      <x:c r="L56" s="23" t="str">
        <x:v>Нужны production-примеры sales-агентов и, возможно, voice-опыт. Клиент подтвержден, но без истории расходов; фиксированный бюджет $200 низок для полного scope, конкуренция 20-50 заявок.</x:v>
      </x:c>
      <x:c r="M56" s="23" t="str">
        <x:v>$200.00</x:v>
      </x:c>
      <x:c r="N56" s="23" t="str">
        <x:v>verified</x:v>
      </x:c>
      <x:c r="O56" s="26" t="str">
        <x:v>20 to 50</x:v>
      </x:c>
      <x:c r="P56" s="23" t="str">
        <x:v>5 days ago</x:v>
      </x:c>
      <x:c r="Q56" s="23" t="str">
        <x:v>PRT</x:v>
      </x:c>
      <x:c r="R56" s="23" t="str">
        <x:v>https://www.upwork.com/jobs/span-class-highlight-Agentic-span-span-class-highlight-span-Customer-Support-System-for-Real-Estate-Business_~022080037748505517610/?referrer_url_path=/nx/search/jobs/</x:v>
      </x:c>
      <x:c r="S56" s="23" t="str">
        <x:v>Чат-боты, поддержка и CRM</x:v>
      </x:c>
      <x:c r="T56" s="23" t="str">
        <x:v>search:AI agent automation:page4</x:v>
      </x:c>
    </x:row>
    <x:row r="57" ht="48" customHeight="1">
      <x:c r="A57" s="26" t="n">
        <x:v>53</x:v>
      </x:c>
      <x:c r="B57" s="23" t="str">
        <x:v>Upwork</x:v>
      </x:c>
      <x:c r="C57" s="23" t="str">
        <x:v>~022072326457921207805</x:v>
      </x:c>
      <x:c r="D57" s="23" t="str">
        <x:v>Автоматизация процессов и интеграции</x:v>
      </x:c>
      <x:c r="E57" s="29" t="n">
        <x:v>75</x:v>
      </x:c>
      <x:c r="F57" s="23" t="str">
        <x:v>70-79% - хорошее</x:v>
      </x:c>
      <x:c r="G57" s="23" t="str">
        <x:v>captured - recheck</x:v>
      </x:c>
      <x:c r="H57" s="23" t="str">
        <x:v>hourly</x:v>
      </x:c>
      <x:c r="I57" s="23" t="str">
        <x:v>AI / Automation Engineer – Build an Automated Financial Data-to-Report Pipeline</x:v>
      </x:c>
      <x:c r="J57" s="23" t="str">
        <x:v>Нужно построить повторяемый конвейер, который регулярно получает финансовые данные компаний, анализирует их с учетом рынка через LLM, формирует стандартизированный понятный отчет и автоматически проверяет качество результата. Исполнитель должен спроектировать, реализовать и затем поддерживать систему.</x:v>
      </x:c>
      <x:c r="K57" s="23" t="str">
        <x:v>Многошаговый AI-workflow, внешние источники данных, фиксированный structured output, автоматическая проверка и эксплуатация хорошо соответствуют навыкам автоматизации и production-подходу Давида. Пилот на малой выборке дает разумную точку входа, а клиент имеет рейтинг 5.0 и более $4000 расходов.</x:v>
      </x:c>
      <x:c r="L57" s="23" t="str">
        <x:v>Финансовые данные и проверка численных выводов требуют доменной компетенции и строгой валидации, а ставка не указана. Нужны примеры сопоставимых пайплайнов, возможен NDA, откликов 50+.</x:v>
      </x:c>
      <x:c r="M57" s="23" t="str">
        <x:v>Hourly</x:v>
      </x:c>
      <x:c r="N57" s="23" t="str">
        <x:v>verified</x:v>
      </x:c>
      <x:c r="O57" s="26" t="str">
        <x:v>50+</x:v>
      </x:c>
      <x:c r="P57" s="23" t="str">
        <x:v>4 weeks ago</x:v>
      </x:c>
      <x:c r="Q57" s="23" t="str">
        <x:v>Switzerland</x:v>
      </x:c>
      <x:c r="R57" s="23" t="str">
        <x:v>https://www.upwork.com/jobs/span-class-highlight-span-span-class-highlight-Automation-span-Engineer-Build-span-class-highlight-Automated-span-Financial-Data-Report-Pipeline_~022072326457921207805/?referrer_url_path=/nx/search/jobs/</x:v>
      </x:c>
      <x:c r="S57" s="23" t="str">
        <x:v>Автоматизация процессов и интеграции</x:v>
      </x:c>
      <x:c r="T57" s="23" t="str">
        <x:v>search:AI agent automation:page5</x:v>
      </x:c>
    </x:row>
    <x:row r="58" ht="48" customHeight="1">
      <x:c r="A58" s="26" t="n">
        <x:v>54</x:v>
      </x:c>
      <x:c r="B58" s="23" t="str">
        <x:v>Upwork</x:v>
      </x:c>
      <x:c r="C58" s="23" t="str">
        <x:v>~022067263498206845131</x:v>
      </x:c>
      <x:c r="D58" s="23" t="str">
        <x:v>AI-агенты и оркестрация</x:v>
      </x:c>
      <x:c r="E58" s="29" t="n">
        <x:v>75</x:v>
      </x:c>
      <x:c r="F58" s="23" t="str">
        <x:v>70-79% - хорошее</x:v>
      </x:c>
      <x:c r="G58" s="23" t="str">
        <x:v>captured - recheck</x:v>
      </x:c>
      <x:c r="H58" s="23" t="str">
        <x:v>hourly</x:v>
      </x:c>
      <x:c r="I58" s="23" t="str">
        <x:v>AI Agent developer – Multi-Agent system Automation &amp; LLM Orchestration Platform (Production Systems)</x:v>
      </x:c>
      <x:c r="J58" s="23" t="str">
        <x:v>Требуется спроектировать production-grade многоагентную платформу для внутренних процессов, интеграций, RAG, памяти, принятия решений с проверками и human-in-the-loop. В состав входят центральный оркестратор, очереди, мониторинг, audit trail и масштабируемый backend.</x:v>
      </x:c>
      <x:c r="K58" s="23" t="str">
        <x:v>Архитектура агентов, tool calling, API, PostgreSQL, RAG, журналирование и контроль действий очень близки к Kora. Повторное использование продуктовых наработок высокое, но основной стек и требования сильнее смещены к Python, FastAPI, Redis и Celery.</x:v>
      </x:c>
      <x:c r="L58" s="23" t="str">
        <x:v>Объем похож на полноценную платформу, а не небольшой соло-пилот. У клиента подтверждена оплата, но $0 расходов и нет рейтинга; ставка имеет слишком широкий диапазон $19-99, откликов 50+.</x:v>
      </x:c>
      <x:c r="M58" s="23" t="str">
        <x:v>Hourly: $19.00 - $99.00</x:v>
      </x:c>
      <x:c r="N58" s="23" t="str">
        <x:v>verified</x:v>
      </x:c>
      <x:c r="O58" s="26" t="str">
        <x:v>50+</x:v>
      </x:c>
      <x:c r="P58" s="23" t="str">
        <x:v>last month</x:v>
      </x:c>
      <x:c r="Q58" s="23" t="str">
        <x:v>United States</x:v>
      </x:c>
      <x:c r="R58" s="23" t="str">
        <x:v>https://www.upwork.com/jobs/span-class-highlight-span-span-class-highlight-Agent-span-developer-Multi-span-class-highlight-Agent-span-system-span-class-highlight-Automation-span-amp-LLM-Orchestration-Platform-Production-Systems_~022067263498206845131/?referrer_url_path=/nx/search/jobs/</x:v>
      </x:c>
      <x:c r="S58" s="23" t="str">
        <x:v>AI-агенты и оркестрация</x:v>
      </x:c>
      <x:c r="T58" s="23" t="str">
        <x:v>search:AI agent automation:page4</x:v>
      </x:c>
    </x:row>
    <x:row r="59" ht="48" customHeight="1">
      <x:c r="A59" s="26" t="n">
        <x:v>55</x:v>
      </x:c>
      <x:c r="B59" s="23" t="str">
        <x:v>Upwork</x:v>
      </x:c>
      <x:c r="C59" s="23" t="str">
        <x:v>~022079236014340896590</x:v>
      </x:c>
      <x:c r="D59" s="23" t="str">
        <x:v>RAG и базы знаний</x:v>
      </x:c>
      <x:c r="E59" s="29" t="n">
        <x:v>75</x:v>
      </x:c>
      <x:c r="F59" s="23" t="str">
        <x:v>70-79% - хорошее</x:v>
      </x:c>
      <x:c r="G59" s="23" t="str">
        <x:v>captured - recheck</x:v>
      </x:c>
      <x:c r="H59" s="23" t="str">
        <x:v>hourly</x:v>
      </x:c>
      <x:c r="I59" s="23" t="str">
        <x:v>AI Agent Developer (Python/FastAPI) – RAG, Pinecone &amp; LLM Automation Expert Needed</x:v>
      </x:c>
      <x:c r="J59" s="23" t="str">
        <x:v>Требуется спроектировать production-ready RAG-систему с автономными агентами: ingestion документов, chunking, embeddings, Pinecone hybrid search, tool calling, память, evaluation, observability и deployment. Backend должен быть асинхронным на FastAPI, с несколькими LLM-провайдерами и хорошо протестированным Python-кодом.</x:v>
      </x:c>
      <x:c r="K59" s="23" t="str">
        <x:v>RAG, агенты, OpenAI и Claude, tool calling, memory, оценка качества и production-надежность пересекаются с архитектурой и продуктом Kora. Scope подробно описан, ставка $25-50/час, клиент подтвердил оплату и имеет рейтинг 5.0.</x:v>
      </x:c>
      <x:c r="L59" s="23" t="str">
        <x:v>Требуются конкретные подтвержденные проекты с Pinecone, FastAPI и Python, которых нельзя считать имеющимися без портфолио Давида. У клиента лишь более $100 расходов, роль предполагает 30+ часов в неделю и уже имеет 50+ откликов.</x:v>
      </x:c>
      <x:c r="M59" s="23" t="str">
        <x:v>Hourly: $25.00 - $50.00</x:v>
      </x:c>
      <x:c r="N59" s="23" t="str">
        <x:v>verified</x:v>
      </x:c>
      <x:c r="O59" s="26" t="str">
        <x:v>50+</x:v>
      </x:c>
      <x:c r="P59" s="23" t="str">
        <x:v>last week</x:v>
      </x:c>
      <x:c r="Q59" s="23" t="str">
        <x:v>United States</x:v>
      </x:c>
      <x:c r="R59" s="23" t="str">
        <x:v>https://www.upwork.com/jobs/span-class-highlight-span-span-class-highlight-Agent-span-Developer-Python-FastAPI-RAG-Pinecone-amp-LLM-span-class-highlight-Automation-span-Expert-Needed_~022079236014340896590/?referrer_url_path=/nx/search/jobs/</x:v>
      </x:c>
      <x:c r="S59" s="23" t="str">
        <x:v>RAG и базы знаний</x:v>
      </x:c>
      <x:c r="T59" s="23" t="str">
        <x:v>search:AI agent automation:page6</x:v>
      </x:c>
    </x:row>
    <x:row r="60" ht="48" customHeight="1">
      <x:c r="A60" s="26" t="n">
        <x:v>56</x:v>
      </x:c>
      <x:c r="B60" s="23" t="str">
        <x:v>Upwork</x:v>
      </x:c>
      <x:c r="C60" s="23" t="str">
        <x:v>~022057432879073492507</x:v>
      </x:c>
      <x:c r="D60" s="23" t="str">
        <x:v>AI-агенты и оркестрация</x:v>
      </x:c>
      <x:c r="E60" s="29" t="n">
        <x:v>75</x:v>
      </x:c>
      <x:c r="F60" s="23" t="str">
        <x:v>70-79% - хорошее</x:v>
      </x:c>
      <x:c r="G60" s="23" t="str">
        <x:v>captured - recheck</x:v>
      </x:c>
      <x:c r="H60" s="23" t="str">
        <x:v>hourly</x:v>
      </x:c>
      <x:c r="I60" s="23" t="str">
        <x:v>AI Agent Developer for Healthcare, Logistics &amp; Business Automation</x:v>
      </x:c>
      <x:c r="J60" s="23" t="str">
        <x:v>Ищут разработчика production-ready AI-агентов, RAG, памяти, tool calling и workflow-автоматизаций для проектов в healthcare, логистике, финансах, ecommerce и внутренних операциях. Допускаются Node.js, Express или Nest, OpenAI, Claude, базы, API, React и no-code оркестраторы.</x:v>
      </x:c>
      <x:c r="K60" s="23" t="str">
        <x:v>Node.js, React, LLM API, агенты, RAG, базы и внешние интеграции хорошо совпадают с навыками Давида и архитектурой Kora. Заявка охватывает много потенциально переиспользуемых продуктовых компонентов.</x:v>
      </x:c>
      <x:c r="L60" s="23" t="str">
        <x:v>Нет одного определенного проекта, результата и критериев приемки, а часть доменов регулируемая и требует отдельной осторожности. У клиента подтверждена оплата, но $0 расходов и нет рейтинга; ставка $19-40 и 50+ откликов.</x:v>
      </x:c>
      <x:c r="M60" s="23" t="str">
        <x:v>Hourly: $19.00 - $40.00</x:v>
      </x:c>
      <x:c r="N60" s="23" t="str">
        <x:v>verified</x:v>
      </x:c>
      <x:c r="O60" s="26" t="str">
        <x:v>50+</x:v>
      </x:c>
      <x:c r="P60" s="23" t="str">
        <x:v>2 months ago</x:v>
      </x:c>
      <x:c r="Q60" s="23" t="str">
        <x:v>United States</x:v>
      </x:c>
      <x:c r="R60" s="23" t="str">
        <x:v>https://www.upwork.com/jobs/span-class-highlight-span-span-class-highlight-Agent-span-Developer-for-Healthcare-Logistics-amp-Business-span-class-highlight-Automation-span_~022057432879073492507/?referrer_url_path=/nx/search/jobs/</x:v>
      </x:c>
      <x:c r="S60" s="23" t="str">
        <x:v>AI-агенты и оркестрация</x:v>
      </x:c>
      <x:c r="T60" s="23" t="str">
        <x:v>search:AI agent automation:page5</x:v>
      </x:c>
    </x:row>
    <x:row r="61" ht="48" customHeight="1">
      <x:c r="A61" s="26" t="n">
        <x:v>57</x:v>
      </x:c>
      <x:c r="B61" s="23" t="str">
        <x:v>Upwork</x:v>
      </x:c>
      <x:c r="C61" s="23" t="str">
        <x:v>~022080940319229875612</x:v>
      </x:c>
      <x:c r="D61" s="23" t="str">
        <x:v>AI-агенты и оркестрация</x:v>
      </x:c>
      <x:c r="E61" s="29" t="n">
        <x:v>75</x:v>
      </x:c>
      <x:c r="F61" s="23" t="str">
        <x:v>70-79% - хорошее</x:v>
      </x:c>
      <x:c r="G61" s="23" t="str">
        <x:v>captured - recheck</x:v>
      </x:c>
      <x:c r="H61" s="23" t="str">
        <x:v>hourly</x:v>
      </x:c>
      <x:c r="I61" s="23" t="str">
        <x:v>AI Automation Developers — Build Production AI Agents for Real Businesses</x:v>
      </x:c>
      <x:c r="J61" s="23" t="str">
        <x:v>Команда ищет разработчиков для клиентских AI-систем малого бизнеса: голосовые агенты, разбор email и web-запросов, CRM, календарь, черновики с human approval и полный аудит. Работа сочетает n8n, Make или Zapier с кастомной логикой на Python; старт через платное тестовое задание.</x:v>
      </x:c>
      <x:c r="K61" s="23" t="str">
        <x:v>Предмет задач почти совпадает с Kora по сообщениям, CRM, scheduling, human-in-the-loop, журналам и гибридной автоматизации. Возможна повторяющаяся работа на нескольких реальных проектах.</x:v>
      </x:c>
      <x:c r="L61" s="23" t="str">
        <x:v>Это набор будущих клиентских задач, а не определенный проект, поэтому scope до теста неизвестен. Ставка $10-20 и тест за $50 низкие, у клиента нет истории расходов, конкуренция 20-50 заявок.</x:v>
      </x:c>
      <x:c r="M61" s="23" t="str">
        <x:v>Hourly: $10.00 - $20.00</x:v>
      </x:c>
      <x:c r="N61" s="23" t="str">
        <x:v>verified</x:v>
      </x:c>
      <x:c r="O61" s="26" t="str">
        <x:v>20 to 50</x:v>
      </x:c>
      <x:c r="P61" s="23" t="str">
        <x:v>3 days ago</x:v>
      </x:c>
      <x:c r="Q61" s="23" t="str">
        <x:v>Nigeria</x:v>
      </x:c>
      <x:c r="R61" s="23" t="str">
        <x:v>https://www.upwork.com/jobs/span-class-highlight-span-span-class-highlight-Automation-span-Developers-Build-Production-span-class-highlight-span-span-class-highlight-Agents-span-for-Real-Businesses_~022080940319229875612/?referrer_url_path=/nx/search/jobs/</x:v>
      </x:c>
      <x:c r="S61" s="23" t="str">
        <x:v>AI-агенты и оркестрация</x:v>
      </x:c>
      <x:c r="T61" s="23" t="str">
        <x:v>search:AI agent automation:page4</x:v>
      </x:c>
    </x:row>
    <x:row r="62" ht="48" customHeight="1">
      <x:c r="A62" s="26" t="n">
        <x:v>58</x:v>
      </x:c>
      <x:c r="B62" s="23" t="str">
        <x:v>Upwork</x:v>
      </x:c>
      <x:c r="C62" s="23" t="str">
        <x:v>~022080855166147943356</x:v>
      </x:c>
      <x:c r="D62" s="23" t="str">
        <x:v>Автоматизация процессов и интеграции</x:v>
      </x:c>
      <x:c r="E62" s="29" t="n">
        <x:v>75</x:v>
      </x:c>
      <x:c r="F62" s="23" t="str">
        <x:v>70-79% - хорошее</x:v>
      </x:c>
      <x:c r="G62" s="23" t="str">
        <x:v>captured - recheck</x:v>
      </x:c>
      <x:c r="H62" s="23" t="str">
        <x:v>hourly</x:v>
      </x:c>
      <x:c r="I62" s="23" t="str">
        <x:v>AI Automation Engineer for Claude System</x:v>
      </x:c>
      <x:c r="J62" s="23" t="str">
        <x:v>Нужно стабилизировать и улучшить существующую систему автоматизации prospecting, которая связывает Claude, Slack и Google Sheets. Главный фокус - надежность интеграций и улучшение текущего процесса.</x:v>
      </x:c>
      <x:c r="K62" s="23" t="str">
        <x:v>Claude, Slack, Sheets и ремонт существующей автоматизации хорошо совпадают с интеграционным и reliability-профилем Давида. Ставка $30-70/час и более $1000 расходов клиента делают небольшой диагностический вход потенциально разумным.</x:v>
      </x:c>
      <x:c r="L62" s="23" t="str">
        <x:v>Описание короткое: неизвестны текущая архитектура, симптомы, объем данных и критерии стабилизации. У клиента нет отображаемого рейтинга, откликов 50+.</x:v>
      </x:c>
      <x:c r="M62" s="23" t="str">
        <x:v>Hourly: $30.00 - $70.00</x:v>
      </x:c>
      <x:c r="N62" s="23" t="str">
        <x:v>verified</x:v>
      </x:c>
      <x:c r="O62" s="26" t="str">
        <x:v>50+</x:v>
      </x:c>
      <x:c r="P62" s="23" t="str">
        <x:v>3 days ago</x:v>
      </x:c>
      <x:c r="Q62" s="23" t="str">
        <x:v>United States</x:v>
      </x:c>
      <x:c r="R62" s="23" t="str">
        <x:v>https://www.upwork.com/jobs/span-class-highlight-span-span-class-highlight-Automation-span-Engineer-for-Claude-System_~022080855166147943356/?referrer_url_path=/nx/search/jobs/</x:v>
      </x:c>
      <x:c r="S62" s="23" t="str">
        <x:v>Автоматизация процессов и интеграции</x:v>
      </x:c>
      <x:c r="T62" s="23" t="str">
        <x:v>search:AI agent automation:page5</x:v>
      </x:c>
    </x:row>
    <x:row r="63" ht="48" customHeight="1">
      <x:c r="A63" s="26" t="n">
        <x:v>59</x:v>
      </x:c>
      <x:c r="B63" s="23" t="str">
        <x:v>Upwork</x:v>
      </x:c>
      <x:c r="C63" s="23" t="str">
        <x:v>~022080599799066783346</x:v>
      </x:c>
      <x:c r="D63" s="23" t="str">
        <x:v>AI-продукты и full-stack</x:v>
      </x:c>
      <x:c r="E63" s="29" t="n">
        <x:v>75</x:v>
      </x:c>
      <x:c r="F63" s="23" t="str">
        <x:v>70-79% - хорошее</x:v>
      </x:c>
      <x:c r="G63" s="23" t="str">
        <x:v>captured - recheck</x:v>
      </x:c>
      <x:c r="H63" s="23" t="str">
        <x:v>hourly</x:v>
      </x:c>
      <x:c r="I63" s="23" t="str">
        <x:v>AI Automation SaaS Platform Development (LLMs, AI Agents &amp; Workflow Automation)</x:v>
      </x:c>
      <x:c r="J63" s="23" t="str">
        <x:v>Заказчик хочет полноценную multi-tenant SaaS-платформу для AI-workflows и агентов с чат-интерфейсом, OpenAI, Slack, Gmail и WhatsApp, аутентификацией, подписками, админкой и аналитикой. Предпочтительны React или Next.js, Node.js или Python, базы, AWS, Docker и vector DB.</x:v>
      </x:c>
      <x:c r="K63" s="23" t="str">
        <x:v>Функции и стек очень близки к Kora: агенты, React, Node.js, интеграции, multi-tenancy, подписки и облачная эксплуатация. Продуктовые наработки могут переиспользоваться почти напрямую.</x:v>
      </x:c>
      <x:c r="L63" s="23" t="str">
        <x:v>Это разработка целой SaaS-платформы, причем заказчик прямо ищет команду и долгосрочного партнера, поэтому соло-реализация за 1-3 месяца рискованна. Клиент потратил только $30, ставка $15-30/час низкая, откликов 50+.</x:v>
      </x:c>
      <x:c r="M63" s="23" t="str">
        <x:v>Hourly: $15.00 - $30.00</x:v>
      </x:c>
      <x:c r="N63" s="23" t="str">
        <x:v>verified</x:v>
      </x:c>
      <x:c r="O63" s="26" t="str">
        <x:v>50+</x:v>
      </x:c>
      <x:c r="P63" s="23" t="str">
        <x:v>4 days ago</x:v>
      </x:c>
      <x:c r="Q63" s="23" t="str">
        <x:v>United States</x:v>
      </x:c>
      <x:c r="R63" s="23" t="str">
        <x:v>https://www.upwork.com/jobs/span-class-highlight-span-span-class-highlight-Automation-span-SaaS-Platform-Development-LLMs-span-class-highlight-span-span-class-highlight-Agents-span-amp-Workflow-span-class-highlight-Automation-span_~022080599799066783346/?referrer_url_path=/nx/search/jobs/</x:v>
      </x:c>
      <x:c r="S63" s="23" t="str">
        <x:v>AI-продукты и full-stack</x:v>
      </x:c>
      <x:c r="T63" s="23" t="str">
        <x:v>search:AI agent automation:page5</x:v>
      </x:c>
    </x:row>
    <x:row r="64" ht="48" customHeight="1">
      <x:c r="A64" s="26" t="n">
        <x:v>60</x:v>
      </x:c>
      <x:c r="B64" s="23" t="str">
        <x:v>Upwork</x:v>
      </x:c>
      <x:c r="C64" s="23" t="str">
        <x:v>~022079574409825003019</x:v>
      </x:c>
      <x:c r="D64" s="23" t="str">
        <x:v>Автоматизация процессов и интеграции</x:v>
      </x:c>
      <x:c r="E64" s="29" t="n">
        <x:v>75</x:v>
      </x:c>
      <x:c r="F64" s="23" t="str">
        <x:v>70-79% - хорошее</x:v>
      </x:c>
      <x:c r="G64" s="23" t="str">
        <x:v>captured - recheck</x:v>
      </x:c>
      <x:c r="H64" s="23" t="str">
        <x:v>hourly</x:v>
      </x:c>
      <x:c r="I64" s="23" t="str">
        <x:v>AI AutomationSpecialist</x:v>
      </x:c>
      <x:c r="J64" s="23" t="str">
        <x:v>Нужен специалист для поиска, разработки и сопровождения AI-автоматизаций между CRM, коммуникационными сервисами, API, таблицами, базами и внутренними процессами. В задачи входят обработка документов и данных, отчетность, OCR, агенты, документация и передача знаний.</x:v>
      </x:c>
      <x:c r="K64" s="23" t="str">
        <x:v>Интеграции, JavaScript, REST API, LLM, n8n, Make, CRM и документные процессы хорошо совпадают с опытом Давида и переиспользуемыми частями Kora. Клиент надежный по метаданным: рейтинг 4.7 и более $1 млн расходов.</x:v>
      </x:c>
      <x:c r="L64" s="23" t="str">
        <x:v>Роль широкая, рассчитана на 3-6 месяцев и множество параллельных инициатив без первого четкого deliverable. Ставка $20-28/час низкая для требуемого уровня, откликов 50+.</x:v>
      </x:c>
      <x:c r="M64" s="23" t="str">
        <x:v>Hourly: $20.00 - $28.00</x:v>
      </x:c>
      <x:c r="N64" s="23" t="str">
        <x:v>verified</x:v>
      </x:c>
      <x:c r="O64" s="26" t="str">
        <x:v>50+</x:v>
      </x:c>
      <x:c r="P64" s="23" t="str">
        <x:v>last week</x:v>
      </x:c>
      <x:c r="Q64" s="23" t="str">
        <x:v>United States</x:v>
      </x:c>
      <x:c r="R64" s="23" t="str">
        <x:v>https://www.upwork.com/jobs/span-class-highlight-span-span-class-highlight-Automation-span-Specialist_~022079574409825003019/?referrer_url_path=/nx/search/jobs/</x:v>
      </x:c>
      <x:c r="S64" s="23" t="str">
        <x:v>Автоматизация процессов и интеграции</x:v>
      </x:c>
      <x:c r="T64" s="23" t="str">
        <x:v>search:AI agent automation:page5</x:v>
      </x:c>
    </x:row>
    <x:row r="65" ht="48" customHeight="1">
      <x:c r="A65" s="26" t="n">
        <x:v>61</x:v>
      </x:c>
      <x:c r="B65" s="23" t="str">
        <x:v>Upwork</x:v>
      </x:c>
      <x:c r="C65" s="23" t="str">
        <x:v>~022076227899193770195</x:v>
      </x:c>
      <x:c r="D65" s="23" t="str">
        <x:v>Автоматизация процессов и интеграции</x:v>
      </x:c>
      <x:c r="E65" s="29" t="n">
        <x:v>75</x:v>
      </x:c>
      <x:c r="F65" s="23" t="str">
        <x:v>70-79% - хорошее</x:v>
      </x:c>
      <x:c r="G65" s="23" t="str">
        <x:v>captured - recheck</x:v>
      </x:c>
      <x:c r="H65" s="23" t="str">
        <x:v>не указано</x:v>
      </x:c>
      <x:c r="I65" s="23" t="str">
        <x:v>AI Developer Needed for Custom AI Automation Systems</x:v>
      </x:c>
      <x:c r="J65" s="23" t="str">
        <x:v>AI-консалтинг ищет white-label контрактного разработчика для четырехнедельных проектов по автоматизации документов, внутренних процессов, RAG и structured outputs. Проекты заранее формализуются, первая неделя отводится на proof of concept, затем нужны production-реализация, тесты, мониторинг, документация и runbook.</x:v>
      </x:c>
      <x:c r="K65" s="23" t="str">
        <x:v>Типовые процессы, LLM API, RAG, интеграции, критерии приемки и unattended production-системы близки к инженерному подходу Давида и могут дать повторяемые шаблоны для Kora. Scope каждого проекта выглядит лучше ограниченным, чем у большинства карточек.</x:v>
      </x:c>
      <x:c r="L65" s="23" t="str">
        <x:v>Основной стек Python, работа white-label и полная передача IP уменьшают продуктовую ценность. Оплата клиента не подтверждена, расходов и рейтинга нет; $2500 платятся после завершения и приемки, есть NDA, договор и practice assignment.</x:v>
      </x:c>
      <x:c r="M65" s="23" t="str">
        <x:v>$2,500.00</x:v>
      </x:c>
      <x:c r="N65" s="23" t="str">
        <x:v>unverified</x:v>
      </x:c>
      <x:c r="O65" s="26" t="str">
        <x:v>20 to 50</x:v>
      </x:c>
      <x:c r="P65" s="23" t="str">
        <x:v>2 weeks ago</x:v>
      </x:c>
      <x:c r="Q65" s="23" t="str">
        <x:v>Netherlands</x:v>
      </x:c>
      <x:c r="R65" s="23" t="str">
        <x:v>https://www.upwork.com/jobs/span-class-highlight-span-Developer-Needed-for-Custom-span-class-highlight-span-span-class-highlight-Automation-span-Systems_~022076227899193770195/?referrer_url_path=/nx/search/jobs/</x:v>
      </x:c>
      <x:c r="S65" s="23" t="str">
        <x:v>Автоматизация процессов и интеграции</x:v>
      </x:c>
      <x:c r="T65" s="23" t="str">
        <x:v>search:AI agent automation:page5</x:v>
      </x:c>
    </x:row>
    <x:row r="66" ht="48" customHeight="1">
      <x:c r="A66" s="26" t="n">
        <x:v>62</x:v>
      </x:c>
      <x:c r="B66" s="23" t="str">
        <x:v>Upwork</x:v>
      </x:c>
      <x:c r="C66" s="23" t="str">
        <x:v>~022082128125190292221</x:v>
      </x:c>
      <x:c r="D66" s="23" t="str">
        <x:v>Автоматизация процессов и интеграции</x:v>
      </x:c>
      <x:c r="E66" s="29" t="n">
        <x:v>75</x:v>
      </x:c>
      <x:c r="F66" s="23" t="str">
        <x:v>70-79% - хорошее</x:v>
      </x:c>
      <x:c r="G66" s="23" t="str">
        <x:v>captured - recheck</x:v>
      </x:c>
      <x:c r="H66" s="23" t="str">
        <x:v>hourly</x:v>
      </x:c>
      <x:c r="I66" s="23" t="str">
        <x:v>AI/Automation Developer – Python, LLMs (ChatGPT, Gemini), Workflow Optimization</x:v>
      </x:c>
      <x:c r="J66" s="23" t="str">
        <x:v>Ищут долгосрочного разработчика для автоматизации внутренних процессов, интеграции ChatGPT, Gemini или Claude, разработки AI-агентов и улучшения корпоративных сайтов. Начало предполагается с небольшого оплачиваемого теста.</x:v>
      </x:c>
      <x:c r="K66" s="23" t="str">
        <x:v>Автоматизация, API, LLM, React и Node.js хорошо совпадают с профилем Давида, а опыт может частично переиспользоваться для Kora. У клиента подтвержденная оплата, рейтинг 4,9 и более $40K расходов.</x:v>
      </x:c>
      <x:c r="L66" s="23" t="str">
        <x:v>Роль очень широкая, рассчитана более чем на шесть месяцев и 30+ часов в неделю, при этом Python предпочитается, а ставка указана всего $10-$25. Конкуренция уже 50+ предложений.</x:v>
      </x:c>
      <x:c r="M66" s="23" t="str">
        <x:v>Hourly: $10-$25</x:v>
      </x:c>
      <x:c r="N66" s="23" t="str">
        <x:v>verified</x:v>
      </x:c>
      <x:c r="O66" s="26" t="str">
        <x:v>50+</x:v>
      </x:c>
      <x:c r="P66" s="23" t="str">
        <x:v>1 hour ago</x:v>
      </x:c>
      <x:c r="Q66" s="23" t="str">
        <x:v>United States</x:v>
      </x:c>
      <x:c r="R66" s="23" t="str">
        <x:v>https://www.upwork.com/jobs/Automation-Developer-Python-LLMs-ChatGPT-Gemini-Workflow-Optimization_~022082128125190292221/?referrer_url_path=find_work_home</x:v>
      </x:c>
      <x:c r="S66" s="23" t="str">
        <x:v>Автоматизация процессов и интеграции</x:v>
      </x:c>
      <x:c r="T66" s="23" t="str">
        <x:v>best_matches</x:v>
      </x:c>
    </x:row>
    <x:row r="67" ht="48" customHeight="1">
      <x:c r="A67" s="26" t="n">
        <x:v>63</x:v>
      </x:c>
      <x:c r="B67" s="23" t="str">
        <x:v>Upwork</x:v>
      </x:c>
      <x:c r="C67" s="23" t="str">
        <x:v>~022074931751140268364</x:v>
      </x:c>
      <x:c r="D67" s="23" t="str">
        <x:v>AI-агенты и оркестрация</x:v>
      </x:c>
      <x:c r="E67" s="29" t="n">
        <x:v>75</x:v>
      </x:c>
      <x:c r="F67" s="23" t="str">
        <x:v>70-79% - хорошее</x:v>
      </x:c>
      <x:c r="G67" s="23" t="str">
        <x:v>captured - recheck</x:v>
      </x:c>
      <x:c r="H67" s="23" t="str">
        <x:v>hourly</x:v>
      </x:c>
      <x:c r="I67" s="23" t="str">
        <x:v>Junior Automation Engineer, AI Agents &amp; Integrations (Trial to Ongoing)</x:v>
      </x:c>
      <x:c r="J67" s="23" t="str">
        <x:v>Консалтинг нанимает младших инженеров для сборки ботов и knowledge-систем в существующем фреймворке. Проекты связывают Gmail, Calendar, Notion, Airtable и Canva через Composio, Zapier, MCP и Python; сначала предусмотрен платный тест.</x:v>
      </x:c>
      <x:c r="K67" s="23" t="str">
        <x:v>Хорошее совпадение по агентам, MCP, внешним API, вебхукам, интеграциям и самостоятельной реализации задач от идеи до работающего результата.</x:v>
      </x:c>
      <x:c r="L67" s="23" t="str">
        <x:v>Основной язык указан Python, желателен опыт Composio и существующих bot frameworks. Ставка $10-30, клиент без истории, более 50 заявок и предпочтение рабочего времени по Pacific timezone снижают привлекательность.</x:v>
      </x:c>
      <x:c r="M67" s="23" t="str">
        <x:v>Hourly: $10.00 - $30.00</x:v>
      </x:c>
      <x:c r="N67" s="23" t="str">
        <x:v>verified</x:v>
      </x:c>
      <x:c r="O67" s="26" t="str">
        <x:v>50+</x:v>
      </x:c>
      <x:c r="P67" s="23" t="str">
        <x:v>3 weeks ago</x:v>
      </x:c>
      <x:c r="Q67" s="23" t="str">
        <x:v>USA</x:v>
      </x:c>
      <x:c r="R67" s="23" t="str">
        <x:v>https://www.upwork.com/jobs/Junior-span-class-highlight-Automation-span-Engineer-span-class-highlight-span-span-class-highlight-Agents-span-amp-Integrations-Trial-Ongoing_~022074931751140268364/?referrer_url_path=/nx/search/jobs/</x:v>
      </x:c>
      <x:c r="S67" s="23" t="str">
        <x:v>AI-агенты и оркестрация</x:v>
      </x:c>
      <x:c r="T67" s="23" t="str">
        <x:v>search:AI agent automation:page3</x:v>
      </x:c>
    </x:row>
    <x:row r="68" ht="48" customHeight="1">
      <x:c r="A68" s="26" t="n">
        <x:v>64</x:v>
      </x:c>
      <x:c r="B68" s="23" t="str">
        <x:v>Upwork</x:v>
      </x:c>
      <x:c r="C68" s="23" t="str">
        <x:v>~022081833254755580077</x:v>
      </x:c>
      <x:c r="D68" s="23" t="str">
        <x:v>RAG и базы знаний</x:v>
      </x:c>
      <x:c r="E68" s="29" t="n">
        <x:v>75</x:v>
      </x:c>
      <x:c r="F68" s="23" t="str">
        <x:v>70-79% - хорошее</x:v>
      </x:c>
      <x:c r="G68" s="23" t="str">
        <x:v>captured - recheck</x:v>
      </x:c>
      <x:c r="H68" s="23" t="str">
        <x:v>не указано</x:v>
      </x:c>
      <x:c r="I68" s="23" t="str">
        <x:v>RAG Chatbot Developer - LangChain + Vector Search over Internal Docs</x:v>
      </x:c>
      <x:c r="J68" s="23" t="str">
        <x:v>Нужно за 5-7 дней построить RAG-чатбота по внутренним документам: ingestion и chunking, Pinecone или pgvector, ответы с обязательными ссылками на источники, честный отказ при отсутствии ответа и небольшой веб-интерфейс.</x:v>
      </x:c>
      <x:c r="K68" s="23" t="str">
        <x:v>Node.js допускается, а RAG, API, интерфейс, grounded answers и fail-closed поведение хорошо сочетаются с инженерным профилем Давида и качественным агентным продуктом. Критерии приемки, срок и бюджет $500 сформулированы ясно.</x:v>
      </x:c>
      <x:c r="L68" s="23" t="str">
        <x:v>Заказчик требует примеры реально выпущенных RAG-систем и обоснование chunking/embeddings, а такое портфолио не подтверждено. Оплата не подтверждена, расходов нет и уже 50+ предложений.</x:v>
      </x:c>
      <x:c r="M68" s="23" t="str">
        <x:v>$500</x:v>
      </x:c>
      <x:c r="N68" s="23" t="str">
        <x:v>unverified</x:v>
      </x:c>
      <x:c r="O68" s="26" t="str">
        <x:v>50+</x:v>
      </x:c>
      <x:c r="P68" s="23" t="str">
        <x:v>21 hours ago</x:v>
      </x:c>
      <x:c r="Q68" s="23" t="str">
        <x:v>Germany</x:v>
      </x:c>
      <x:c r="R68" s="23" t="str">
        <x:v>https://www.upwork.com/jobs/RAG-Chatbot-Developer-LangChain-Vector-Search-over-Internal-Docs_~022081833254755580077/?referrer_url_path=find_work_home</x:v>
      </x:c>
      <x:c r="S68" s="23" t="str">
        <x:v>RAG и базы знаний</x:v>
      </x:c>
      <x:c r="T68" s="23" t="str">
        <x:v>best_matches</x:v>
      </x:c>
    </x:row>
    <x:row r="69" ht="48" customHeight="1">
      <x:c r="A69" s="26" t="n">
        <x:v>65</x:v>
      </x:c>
      <x:c r="B69" s="23" t="str">
        <x:v>Upwork</x:v>
      </x:c>
      <x:c r="C69" s="23" t="str">
        <x:v>~022081745575182341532</x:v>
      </x:c>
      <x:c r="D69" s="23" t="str">
        <x:v>Автоматизация процессов и интеграции</x:v>
      </x:c>
      <x:c r="E69" s="29" t="n">
        <x:v>75</x:v>
      </x:c>
      <x:c r="F69" s="23" t="str">
        <x:v>70-79% - хорошее</x:v>
      </x:c>
      <x:c r="G69" s="23" t="str">
        <x:v>captured - recheck</x:v>
      </x:c>
      <x:c r="H69" s="23" t="str">
        <x:v>не указано</x:v>
      </x:c>
      <x:c r="I69" s="23" t="str">
        <x:v>Senior AI Automation Engineer | AI Agents | OpenAI | n8n</x:v>
      </x:c>
      <x:c r="J69" s="23" t="str">
        <x:v>Нужно строить production AI-автоматизации на n8n, Make или Zapier, создавать агентов и RAG, интегрировать LLM с CRM, базами и API, а также обеспечивать надежность, безопасность, мониторинг и документацию.</x:v>
      </x:c>
      <x:c r="K69" s="23" t="str">
        <x:v>JavaScript/TypeScript, OpenAI/Claude, агенты, RAG, API, CRM и production-инженерия дают сильное совпадение с Давидом и Kora. Задача отражает повторяемый продуктовый спрос на надежные бизнес-workflow.</x:v>
      </x:c>
      <x:c r="L69" s="23" t="str">
        <x:v>Scope похож на широкий набор постоянных обязанностей, но фиксированный бюджет равен $250. У клиента подтверждена оплата, однако нет расходов и рейтинга; уже 20-50 предложений, а 3+ года профильной automation-практики и конкретные кейсы должны быть доказаны.</x:v>
      </x:c>
      <x:c r="M69" s="23" t="str">
        <x:v>$250.00</x:v>
      </x:c>
      <x:c r="N69" s="23" t="str">
        <x:v>verified</x:v>
      </x:c>
      <x:c r="O69" s="26" t="str">
        <x:v>20 to 50</x:v>
      </x:c>
      <x:c r="P69" s="23" t="str">
        <x:v>yesterday</x:v>
      </x:c>
      <x:c r="Q69" s="23" t="str">
        <x:v>United Kingdom</x:v>
      </x:c>
      <x:c r="R69" s="23" t="str">
        <x:v>https://www.upwork.com/jobs/Senior-span-class-highlight-span-span-class-highlight-Automation-span-Engineer-span-class-highlight-span-span-class-highlight-Agents-span-Open-span-class-highlight-span-n8n_~022081745575182341532/?referrer_url_path=/nx/search/jobs/</x:v>
      </x:c>
      <x:c r="S69" s="23" t="str">
        <x:v>Автоматизация процессов и интеграции</x:v>
      </x:c>
      <x:c r="T69" s="23" t="str">
        <x:v>search:AI agent automation:page2</x:v>
      </x:c>
    </x:row>
    <x:row r="70" ht="48" customHeight="1">
      <x:c r="A70" s="26" t="n">
        <x:v>66</x:v>
      </x:c>
      <x:c r="B70" s="23" t="str">
        <x:v>FL.ru</x:v>
      </x:c>
      <x:c r="C70" s="23" t="str">
        <x:v>5508416</x:v>
      </x:c>
      <x:c r="D70" s="23" t="str">
        <x:v>AI-продукты и full-stack</x:v>
      </x:c>
      <x:c r="E70" s="29" t="n">
        <x:v>72</x:v>
      </x:c>
      <x:c r="F70" s="23" t="str">
        <x:v>70-79% - хорошее</x:v>
      </x:c>
      <x:c r="G70" s="23" t="str">
        <x:v>open</x:v>
      </x:c>
      <x:c r="H70" s="23" t="str">
        <x:v>project</x:v>
      </x:c>
      <x:c r="I70" s="23" t="str">
        <x:v>Разработка MVP Telegram-бота / AI-сервиса</x:v>
      </x:c>
      <x:c r="J70" s="23" t="str">
        <x:v>Собрать рабочий прототип AI-сервиса или Telegram-бота и предложить реализацию.</x:v>
      </x:c>
      <x:c r="K70" s="23" t="str">
        <x:v>Частичное или слабое совпадение. Использовать только как дополнительный сигнал, не как приоритетный лид.</x:v>
      </x:c>
      <x:c r="L70" s="23" t="str">
        <x:v>59 ответов: высокая конкуренция</x:v>
      </x:c>
      <x:c r="M70" s="23" t="str">
        <x:v>по договоренности</x:v>
      </x:c>
      <x:c r="N70" s="23" t="str">
        <x:v>не показано</x:v>
      </x:c>
      <x:c r="O70" s="26" t="n">
        <x:v>59</x:v>
      </x:c>
      <x:c r="P70" s="23" t="str">
        <x:v>не сохранено</x:v>
      </x:c>
      <x:c r="Q70" s="23" t="str">
        <x:v>RU</x:v>
      </x:c>
      <x:c r="R70" s="23" t="str">
        <x:v>https://www.fl.ru/projects/5508416/razrabotka-mvp-telegram-bota---ai-servisa.html</x:v>
      </x:c>
      <x:c r="S70" s="23" t="str">
        <x:v>AI-продукт / full-stack</x:v>
      </x:c>
      <x:c r="T70" s="23" t="str">
        <x:v>FL.ru AI category</x:v>
      </x:c>
    </x:row>
    <x:row r="71" ht="48" customHeight="1">
      <x:c r="A71" s="26" t="n">
        <x:v>67</x:v>
      </x:c>
      <x:c r="B71" s="23" t="str">
        <x:v>Upwork</x:v>
      </x:c>
      <x:c r="C71" s="23" t="str">
        <x:v>~022082068615769369000</x:v>
      </x:c>
      <x:c r="D71" s="23" t="str">
        <x:v>AI-агенты и оркестрация</x:v>
      </x:c>
      <x:c r="E71" s="29" t="n">
        <x:v>70</x:v>
      </x:c>
      <x:c r="F71" s="23" t="str">
        <x:v>70-79% - хорошее</x:v>
      </x:c>
      <x:c r="G71" s="23" t="str">
        <x:v>captured - recheck</x:v>
      </x:c>
      <x:c r="H71" s="23" t="str">
        <x:v>hourly</x:v>
      </x:c>
      <x:c r="I71" s="23" t="str">
        <x:v>Agentic AI Developer Needed - Build &amp; Review AI Agent</x:v>
      </x:c>
      <x:c r="J71" s="23" t="str">
        <x:v>Нужно помочь с ограниченной задачей по уже существующему AI-агенту: провести работу над сборкой или ревью с использованием LangChain, LangGraph, CrewAI либо аналогичного agentic-фреймворка. Простого опыта вызовов LLM API клиенту недостаточно.</x:v>
      </x:c>
      <x:c r="K71" s="23" t="str">
        <x:v>Фокус на существующем агенте, его разборе и доработке соответствует опыту с agentic-системами, а срок менее недели реалистичен. Клиент подтвержден, рейтинг 5,0, более $3K расходов и ставка до $60.</x:v>
      </x:c>
      <x:c r="L71" s="23" t="str">
        <x:v>Неясно, что именно нужно построить или проверить и в каком состоянии находится код. Нужны убедительные примеры работы именно с agentic-фреймворками, при этом уже есть 50+ предложений.</x:v>
      </x:c>
      <x:c r="M71" s="23" t="str">
        <x:v>Hourly: $25-$60</x:v>
      </x:c>
      <x:c r="N71" s="23" t="str">
        <x:v>verified</x:v>
      </x:c>
      <x:c r="O71" s="26" t="str">
        <x:v>50+</x:v>
      </x:c>
      <x:c r="P71" s="23" t="str">
        <x:v>5 hours ago</x:v>
      </x:c>
      <x:c r="Q71" s="23" t="str">
        <x:v>United States</x:v>
      </x:c>
      <x:c r="R71" s="23" t="str">
        <x:v>https://www.upwork.com/jobs/Agentic-Developer-Needed-Build-Review-Agent_~022082068615769369000/?referrer_url_path=find_work_home</x:v>
      </x:c>
      <x:c r="S71" s="23" t="str">
        <x:v>AI-агенты и оркестрация</x:v>
      </x:c>
      <x:c r="T71" s="23" t="str">
        <x:v>best_matches</x:v>
      </x:c>
    </x:row>
    <x:row r="72" ht="48" customHeight="1">
      <x:c r="A72" s="26" t="n">
        <x:v>68</x:v>
      </x:c>
      <x:c r="B72" s="23" t="str">
        <x:v>Upwork</x:v>
      </x:c>
      <x:c r="C72" s="23" t="str">
        <x:v>~022082069382522138916</x:v>
      </x:c>
      <x:c r="D72" s="23" t="str">
        <x:v>AI-агенты и оркестрация</x:v>
      </x:c>
      <x:c r="E72" s="29" t="n">
        <x:v>70</x:v>
      </x:c>
      <x:c r="F72" s="23" t="str">
        <x:v>70-79% - хорошее</x:v>
      </x:c>
      <x:c r="G72" s="23" t="str">
        <x:v>captured - recheck</x:v>
      </x:c>
      <x:c r="H72" s="23" t="str">
        <x:v>hourly</x:v>
      </x:c>
      <x:c r="I72" s="23" t="str">
        <x:v>Agentic AI Developer Needed - GenAI &amp; Chatbot Development</x:v>
      </x:c>
      <x:c r="J72" s="23" t="str">
        <x:v>Нужен опытный разработчик для сборки и отладки AI-агентов, GenAI и чат-интерфейсов с интеграцией в существующие системы. Клиент просит показать реально выпущенные, а не экспериментальные проекты.</x:v>
      </x:c>
      <x:c r="K72" s="23" t="str">
        <x:v>AI-агенты, LLM, отладка и системные интеграции совпадают с профилем Давида, а короткий срок менее недели подходит для ограниченного задания. Клиент подтвержден, имеет рейтинг 5,0 и более $3K расходов.</x:v>
      </x:c>
      <x:c r="L72" s="23" t="str">
        <x:v>Конкретная задача и критерии приемки не раскрыты, поэтому продуктовая переиспользуемость пока неясна. Требуются доказуемые production-примеры, а конкуренция уже 50+.</x:v>
      </x:c>
      <x:c r="M72" s="23" t="str">
        <x:v>Hourly: $30-$60</x:v>
      </x:c>
      <x:c r="N72" s="23" t="str">
        <x:v>verified</x:v>
      </x:c>
      <x:c r="O72" s="26" t="str">
        <x:v>50+</x:v>
      </x:c>
      <x:c r="P72" s="23" t="str">
        <x:v>5 hours ago</x:v>
      </x:c>
      <x:c r="Q72" s="23" t="str">
        <x:v>United States</x:v>
      </x:c>
      <x:c r="R72" s="23" t="str">
        <x:v>https://www.upwork.com/jobs/Agentic-Developer-Needed-GenAI-Chatbot-Development_~022082069382522138916/?referrer_url_path=find_work_home</x:v>
      </x:c>
      <x:c r="S72" s="23" t="str">
        <x:v>AI-агенты и оркестрация</x:v>
      </x:c>
      <x:c r="T72" s="23" t="str">
        <x:v>best_matches</x:v>
      </x:c>
    </x:row>
    <x:row r="73" ht="48" customHeight="1">
      <x:c r="A73" s="26" t="n">
        <x:v>69</x:v>
      </x:c>
      <x:c r="B73" s="23" t="str">
        <x:v>Upwork</x:v>
      </x:c>
      <x:c r="C73" s="23" t="str">
        <x:v>~022078099608600291093</x:v>
      </x:c>
      <x:c r="D73" s="23" t="str">
        <x:v>AI-продукты и full-stack</x:v>
      </x:c>
      <x:c r="E73" s="29" t="n">
        <x:v>70</x:v>
      </x:c>
      <x:c r="F73" s="23" t="str">
        <x:v>70-79% - хорошее</x:v>
      </x:c>
      <x:c r="G73" s="23" t="str">
        <x:v>captured - recheck</x:v>
      </x:c>
      <x:c r="H73" s="23" t="str">
        <x:v>не указано</x:v>
      </x:c>
      <x:c r="I73" s="23" t="str">
        <x:v>AI Agent Developer Needed for Long-Term Generative AI &amp; Machine Learning Projects</x:v>
      </x:c>
      <x:c r="J73" s="23" t="str">
        <x:v>Технологическая компания ищет долгосрочного разработчика для нескольких AI-продуктов: агентов, чат-ботов, RAG, workflow-автоматизаций и кастомных ML-решений. Нужна работа от концепции до deployment с API, внешними инструментами, облаком и современными agent frameworks.</x:v>
      </x:c>
      <x:c r="K73" s="23" t="str">
        <x:v>Агенты, OpenAI и Claude, LangGraph, RAG, API и production-разработка близки к профилю Давида. Заявленный фиксированный бюджет $10000 и долгосрочный поток проектов потенциально привлекательны, но это скорее роль внешнего AI-разработчика, чем конкретный продуктовый пилот.</x:v>
      </x:c>
      <x:c r="L73" s="23" t="str">
        <x:v>Не описан первый проект, milestones и критерии приемки; основной стек заявлен как Python. У клиента подтверждена оплата, но $0 расходов и нет рейтинга, при этом откликов 50+.</x:v>
      </x:c>
      <x:c r="M73" s="23" t="str">
        <x:v>$10,000.00</x:v>
      </x:c>
      <x:c r="N73" s="23" t="str">
        <x:v>verified</x:v>
      </x:c>
      <x:c r="O73" s="26" t="str">
        <x:v>50+</x:v>
      </x:c>
      <x:c r="P73" s="23" t="str">
        <x:v>2 weeks ago</x:v>
      </x:c>
      <x:c r="Q73" s="23" t="str">
        <x:v>United States</x:v>
      </x:c>
      <x:c r="R73" s="23" t="str">
        <x:v>https://www.upwork.com/jobs/span-class-highlight-span-span-class-highlight-Agent-span-Developer-Needed-for-Long-Term-Generative-span-class-highlight-span-amp-Machine-Learning-Projects_~022078099608600291093/?referrer_url_path=/nx/search/jobs/</x:v>
      </x:c>
      <x:c r="S73" s="23" t="str">
        <x:v>AI-продукты и full-stack</x:v>
      </x:c>
      <x:c r="T73" s="23" t="str">
        <x:v>search:AI agent automation:page5</x:v>
      </x:c>
    </x:row>
    <x:row r="74" ht="48" customHeight="1">
      <x:c r="A74" s="26" t="n">
        <x:v>70</x:v>
      </x:c>
      <x:c r="B74" s="23" t="str">
        <x:v>Upwork</x:v>
      </x:c>
      <x:c r="C74" s="23" t="str">
        <x:v>~022077289899645474567</x:v>
      </x:c>
      <x:c r="D74" s="23" t="str">
        <x:v>AI-агенты и оркестрация</x:v>
      </x:c>
      <x:c r="E74" s="29" t="n">
        <x:v>70</x:v>
      </x:c>
      <x:c r="F74" s="23" t="str">
        <x:v>70-79% - хорошее</x:v>
      </x:c>
      <x:c r="G74" s="23" t="str">
        <x:v>captured - recheck</x:v>
      </x:c>
      <x:c r="H74" s="23" t="str">
        <x:v>hourly</x:v>
      </x:c>
      <x:c r="I74" s="23" t="str">
        <x:v>AI Agents &amp; Automation Engineer</x:v>
      </x:c>
      <x:c r="J74" s="23" t="str">
        <x:v>Требуется разработчик для проектирования, тестирования, развертывания и интеграции AI-агентов в существующие автоматизированные системы, чтобы повысить эффективность и качество решений.</x:v>
      </x:c>
      <x:c r="K74" s="23" t="str">
        <x:v>Базовое направление хорошо совпадает с агентами, автоматизацией и интеграциями, а у клиента есть подтвержденные расходы и рейтинг 5.0.</x:v>
      </x:c>
      <x:c r="L74" s="23" t="str">
        <x:v>Не описаны конкретные процессы, системы, deliverables и критерии успеха; диапазон $9-$90 не дает надежного ценового сигнала, конкуренция 20-50.</x:v>
      </x:c>
      <x:c r="M74" s="23" t="str">
        <x:v>Hourly: $9.00 - $90.00</x:v>
      </x:c>
      <x:c r="N74" s="23" t="str">
        <x:v>verified</x:v>
      </x:c>
      <x:c r="O74" s="26" t="str">
        <x:v>20 to 50</x:v>
      </x:c>
      <x:c r="P74" s="23" t="str">
        <x:v>2 weeks ago</x:v>
      </x:c>
      <x:c r="Q74" s="23" t="str">
        <x:v>India</x:v>
      </x:c>
      <x:c r="R74" s="23" t="str">
        <x:v>https://www.upwork.com/jobs/span-class-highlight-span-span-class-highlight-Agents-span-amp-span-class-highlight-Automation-span-Engineer_~022077289899645474567/?referrer_url_path=/nx/search/jobs/</x:v>
      </x:c>
      <x:c r="S74" s="23" t="str">
        <x:v>AI-агенты и оркестрация</x:v>
      </x:c>
      <x:c r="T74" s="23" t="str">
        <x:v>search:AI agent automation:page7</x:v>
      </x:c>
    </x:row>
    <x:row r="75" ht="48" customHeight="1">
      <x:c r="A75" s="26" t="n">
        <x:v>71</x:v>
      </x:c>
      <x:c r="B75" s="23" t="str">
        <x:v>Upwork</x:v>
      </x:c>
      <x:c r="C75" s="23" t="str">
        <x:v>~022073735525921878223</x:v>
      </x:c>
      <x:c r="D75" s="23" t="str">
        <x:v>Автоматизация процессов и интеграции</x:v>
      </x:c>
      <x:c r="E75" s="29" t="n">
        <x:v>70</x:v>
      </x:c>
      <x:c r="F75" s="23" t="str">
        <x:v>70-79% - хорошее</x:v>
      </x:c>
      <x:c r="G75" s="23" t="str">
        <x:v>captured - recheck</x:v>
      </x:c>
      <x:c r="H75" s="23" t="str">
        <x:v>hourly</x:v>
      </x:c>
      <x:c r="I75" s="23" t="str">
        <x:v>AI Automation Developer (Workflows, APIs, AI Agents)</x:v>
      </x:c>
      <x:c r="J75" s="23" t="str">
        <x:v>Нужно проектировать и внедрять AI-workflows для бизнес-процессов, связывать OpenAI, Google и другие API через Zapier, Make, Power Automate или n8n. Системы должны заменять повторяющиеся операции и быть масштабируемыми и production-ready.</x:v>
      </x:c>
      <x:c r="K75" s="23" t="str">
        <x:v>AI API, бизнес-автоматизация, внешние интеграции и n8n или Make напрямую совпадают с профилем Давида и направлением Kora. Ставка $30-60/час приемлема, а формат меньше 30 часов в неделю потенциально совместим с проектной работой.</x:v>
      </x:c>
      <x:c r="L75" s="23" t="str">
        <x:v>Карточка не называет конкретный процесс, систему, первый deliverable или критерий успеха. У клиента подтверждена оплата, но $0 расходов и нет рейтинга; откликов 50+.</x:v>
      </x:c>
      <x:c r="M75" s="23" t="str">
        <x:v>Hourly: $30.00 - $60.00</x:v>
      </x:c>
      <x:c r="N75" s="23" t="str">
        <x:v>verified</x:v>
      </x:c>
      <x:c r="O75" s="26" t="str">
        <x:v>50+</x:v>
      </x:c>
      <x:c r="P75" s="23" t="str">
        <x:v>3 weeks ago</x:v>
      </x:c>
      <x:c r="Q75" s="23" t="str">
        <x:v>United States</x:v>
      </x:c>
      <x:c r="R75" s="23" t="str">
        <x:v>https://www.upwork.com/jobs/span-class-highlight-span-span-class-highlight-Automation-span-Developer-Workflows-APIs-span-class-highlight-span-span-class-highlight-Agents-span_~022073735525921878223/?referrer_url_path=/nx/search/jobs/</x:v>
      </x:c>
      <x:c r="S75" s="23" t="str">
        <x:v>Автоматизация процессов и интеграции</x:v>
      </x:c>
      <x:c r="T75" s="23" t="str">
        <x:v>search:AI agent automation:page6</x:v>
      </x:c>
    </x:row>
    <x:row r="76" ht="48" customHeight="1">
      <x:c r="A76" s="26" t="n">
        <x:v>72</x:v>
      </x:c>
      <x:c r="B76" s="23" t="str">
        <x:v>Upwork</x:v>
      </x:c>
      <x:c r="C76" s="23" t="str">
        <x:v>~022081852368808308338</x:v>
      </x:c>
      <x:c r="D76" s="23" t="str">
        <x:v>AI-агенты и оркестрация</x:v>
      </x:c>
      <x:c r="E76" s="29" t="n">
        <x:v>70</x:v>
      </x:c>
      <x:c r="F76" s="23" t="str">
        <x:v>70-79% - хорошее</x:v>
      </x:c>
      <x:c r="G76" s="23" t="str">
        <x:v>captured - recheck</x:v>
      </x:c>
      <x:c r="H76" s="23" t="str">
        <x:v>hourly</x:v>
      </x:c>
      <x:c r="I76" s="23" t="str">
        <x:v>AI Automation Engineer - Multi-Agent Systems for Healthcare AI (Bulgaria, 3-6 Months)</x:v>
      </x:c>
      <x:c r="J76" s="23" t="str">
        <x:v>Нужно с нуля построить многоагентную AIOS для эстетических клиник: реактивация пациентов, клиентский портал, интеграции, перенос данных из клинической системы в CRM и повторно используемые развертывания для новых клиник. Работа включает архитектуру, full-stack и работу с чувствительными медицинскими данными.</x:v>
      </x:c>
      <x:c r="K76" s="23" t="str">
        <x:v>Высокое техническое пересечение по TypeScript или JavaScript, API, OAuth, агентной оркестрации, n8n, CRM и повторно используемой продуктовой архитектуре.</x:v>
      </x:c>
      <x:c r="L76" s="23" t="str">
        <x:v>Есть жесткое требование находиться в Болгарии. Нужны доказанный опыт production multi-agent систем, медицинских данных и GDPR, загрузка 30+ часов в неделю; старт зависит от подписания первого клиента.</x:v>
      </x:c>
      <x:c r="M76" s="23" t="str">
        <x:v>Hourly</x:v>
      </x:c>
      <x:c r="N76" s="23" t="str">
        <x:v>verified</x:v>
      </x:c>
      <x:c r="O76" s="26" t="str">
        <x:v>5 to 10</x:v>
      </x:c>
      <x:c r="P76" s="23" t="str">
        <x:v>17 hours ago</x:v>
      </x:c>
      <x:c r="Q76" s="23" t="str">
        <x:v>Bulgaria</x:v>
      </x:c>
      <x:c r="R76" s="23" t="str">
        <x:v>https://www.upwork.com/jobs/span-class-highlight-span-span-class-highlight-Automation-span-Engineer-Multi-span-class-highlight-Agent-span-Systems-for-Healthcare-span-class-highlight-span-Bulgaria-Months_~022081852368808308338/?referrer_url_path=/nx/search/jobs/</x:v>
      </x:c>
      <x:c r="S76" s="23" t="str">
        <x:v>AI-агенты и оркестрация</x:v>
      </x:c>
      <x:c r="T76" s="23" t="str">
        <x:v>search:AI agent automation:page2</x:v>
      </x:c>
    </x:row>
    <x:row r="77" ht="48" customHeight="1">
      <x:c r="A77" s="26" t="n">
        <x:v>73</x:v>
      </x:c>
      <x:c r="B77" s="23" t="str">
        <x:v>Upwork</x:v>
      </x:c>
      <x:c r="C77" s="23" t="str">
        <x:v>~022078135380634019339</x:v>
      </x:c>
      <x:c r="D77" s="23" t="str">
        <x:v>AI-продукты и full-stack</x:v>
      </x:c>
      <x:c r="E77" s="29" t="n">
        <x:v>70</x:v>
      </x:c>
      <x:c r="F77" s="23" t="str">
        <x:v>70-79% - хорошее</x:v>
      </x:c>
      <x:c r="G77" s="23" t="str">
        <x:v>captured - recheck</x:v>
      </x:c>
      <x:c r="H77" s="23" t="str">
        <x:v>hourly</x:v>
      </x:c>
      <x:c r="I77" s="23" t="str">
        <x:v>AI Automation Engineer / AI Agent Developer</x:v>
      </x:c>
      <x:c r="J77" s="23" t="str">
        <x:v>Нужно создать AutoAnalyst AI, куда пользователь загружает сырые наборы данных, задает вопросы обычным языком и получает очищенный анализ, визуализации, выводы и профессиональный отчет. Требуются OpenAI API, Python, агенты, tool calling, исполнение кода и backend-автоматизация.</x:v>
      </x:c>
      <x:c r="K77" s="23" t="str">
        <x:v>Agent orchestration, OpenAI API, tool calling и создание законченного AI-продукта соответствуют общему инженерному профилю Давида. Клиент имеет подтвержденную оплату, рейтинг 5.0, более $2000 расходов и сильную ставку $60-100/час.</x:v>
      </x:c>
      <x:c r="L77" s="23" t="str">
        <x:v>Центр задачи - Python, безопасное исполнение пользовательского кода, data science и визуализация, а не основной стек и сценарий Kora. Несмотря на формулировку small-sized, продукт технически сложный; откликов 50+.</x:v>
      </x:c>
      <x:c r="M77" s="23" t="str">
        <x:v>Hourly: $60.00 - $100.00</x:v>
      </x:c>
      <x:c r="N77" s="23" t="str">
        <x:v>verified</x:v>
      </x:c>
      <x:c r="O77" s="26" t="str">
        <x:v>50+</x:v>
      </x:c>
      <x:c r="P77" s="23" t="str">
        <x:v>2 weeks ago</x:v>
      </x:c>
      <x:c r="Q77" s="23" t="str">
        <x:v>United States</x:v>
      </x:c>
      <x:c r="R77" s="23" t="str">
        <x:v>https://www.upwork.com/jobs/span-class-highlight-span-span-class-highlight-Automation-span-Engineer-span-class-highlight-span-span-class-highlight-Agent-span-Developer_~022078135380634019339/?referrer_url_path=/nx/search/jobs/</x:v>
      </x:c>
      <x:c r="S77" s="23" t="str">
        <x:v>AI-продукты и full-stack</x:v>
      </x:c>
      <x:c r="T77" s="23" t="str">
        <x:v>search:AI agent automation:page5</x:v>
      </x:c>
    </x:row>
    <x:row r="78" ht="48" customHeight="1">
      <x:c r="A78" s="26" t="n">
        <x:v>74</x:v>
      </x:c>
      <x:c r="B78" s="23" t="str">
        <x:v>Upwork</x:v>
      </x:c>
      <x:c r="C78" s="23" t="str">
        <x:v>~022082128804452242844</x:v>
      </x:c>
      <x:c r="D78" s="23" t="str">
        <x:v>Чат-боты, поддержка и CRM</x:v>
      </x:c>
      <x:c r="E78" s="29" t="n">
        <x:v>70</x:v>
      </x:c>
      <x:c r="F78" s="23" t="str">
        <x:v>70-79% - хорошее</x:v>
      </x:c>
      <x:c r="G78" s="23" t="str">
        <x:v>captured - recheck</x:v>
      </x:c>
      <x:c r="H78" s="23" t="str">
        <x:v>не указано</x:v>
      </x:c>
      <x:c r="I78" s="23" t="str">
        <x:v>AI Chatbot Developer for Customer Support &amp; CRM Automation</x:v>
      </x:c>
      <x:c r="J78" s="23" t="str">
        <x:v>Нужно создать production AI-чатбота для ответов клиентам, квалификации лидов, записи на встречи, проверки заказов и передачи диалога человеку. Решение должно работать с GoHighLevel или другой CRM, Google Sheets, базами, n8n или Make.com, вести историю и аналитику.</x:v>
      </x:c>
      <x:c r="K78" s="23" t="str">
        <x:v>AI support, CRM, workflow automation, API, human handoff и журналирование хорошо совпадают с Kora и техническим профилем Давида. Клиент подтвержден, имеет рейтинг 5.0 и $5K+ расходов, а функциональный объем описан понятно.</x:v>
      </x:c>
      <x:c r="L78" s="23" t="str">
        <x:v>Карточка не называет конкретную Business Platform/API, а фиксированный бюджет $5 совершенно не соответствует production-объему. Требуются доказанные chatbot-кейсы и опыт с CRM или no-code автоматизацией; конкуренция 20-50 предложений.</x:v>
      </x:c>
      <x:c r="M78" s="23" t="str">
        <x:v>$5.00</x:v>
      </x:c>
      <x:c r="N78" s="23" t="str">
        <x:v>verified</x:v>
      </x:c>
      <x:c r="O78" s="26" t="str">
        <x:v>20 to 50</x:v>
      </x:c>
      <x:c r="P78" s="23" t="str">
        <x:v>1 hour ago</x:v>
      </x:c>
      <x:c r="Q78" s="23" t="str">
        <x:v>United States</x:v>
      </x:c>
      <x:c r="R78" s="23" t="str">
        <x:v>https://www.upwork.com/jobs/span-class-highlight-span-Chatbot-Developer-for-Customer-Support-amp-CRM-span-class-highlight-Automation-span_~022082128804452242844/?referrer_url_path=/nx/search/jobs/</x:v>
      </x:c>
      <x:c r="S78" s="23" t="str">
        <x:v>Чат-боты, поддержка и CRM</x:v>
      </x:c>
      <x:c r="T78" s="23" t="str">
        <x:v>search:AI agent automation:page1</x:v>
      </x:c>
    </x:row>
    <x:row r="79" ht="48" customHeight="1">
      <x:c r="A79" s="26" t="n">
        <x:v>75</x:v>
      </x:c>
      <x:c r="B79" s="23" t="str">
        <x:v>Upwork</x:v>
      </x:c>
      <x:c r="C79" s="23" t="str">
        <x:v>~022081922819151747063</x:v>
      </x:c>
      <x:c r="D79" s="23" t="str">
        <x:v>RAG и базы знаний</x:v>
      </x:c>
      <x:c r="E79" s="29" t="n">
        <x:v>70</x:v>
      </x:c>
      <x:c r="F79" s="23" t="str">
        <x:v>70-79% - хорошее</x:v>
      </x:c>
      <x:c r="G79" s="23" t="str">
        <x:v>captured - recheck</x:v>
      </x:c>
      <x:c r="H79" s="23" t="str">
        <x:v>не указано</x:v>
      </x:c>
      <x:c r="I79" s="23" t="str">
        <x:v>AI Knowledge Assistant for AML/CTF Compliance Platform (Sydney Preferred)</x:v>
      </x:c>
      <x:c r="J79" s="23" t="str">
        <x:v>Австралийской compliance-платформе нужен RAG-ассистент внутри клиентского кабинета, отвечающий по AUSTRAC, законодательству, 17 SOP и отраслевым требованиям для пяти типов клиентов. Требуются точные контекстные ответы, интеграция в существующее веб-приложение и структура knowledge base.</x:v>
      </x:c>
      <x:c r="K79" s="23" t="str">
        <x:v>RAG, интеграция в SaaS и разграничение контекста по типам пользователей технически подходят Давиду и могут переиспользоваться в Kora как knowledge assistant. Есть фиксированные $1,500, срок 7-10 дней и клиент с подтвержденной оплатой, рейтингом 5.0 и $2K+ расходов.</x:v>
      </x:c>
      <x:c r="L79" s="23" t="str">
        <x:v>Это юридически чувствительный AML/CTF-домен, где ошибки могут иметь серьезные последствия, а срок для качественной проверки короткий. Предпочитают разработчика из Сиднея, требуют доказанные аналогичные RAG-проекты и уже получили 50+ предложений.</x:v>
      </x:c>
      <x:c r="M79" s="23" t="str">
        <x:v>$1,500</x:v>
      </x:c>
      <x:c r="N79" s="23" t="str">
        <x:v>verified</x:v>
      </x:c>
      <x:c r="O79" s="26" t="str">
        <x:v>50+</x:v>
      </x:c>
      <x:c r="P79" s="23" t="str">
        <x:v>15 hours ago</x:v>
      </x:c>
      <x:c r="Q79" s="23" t="str">
        <x:v>Singapore</x:v>
      </x:c>
      <x:c r="R79" s="23" t="str">
        <x:v>https://www.upwork.com/jobs/Knowledge-Assistant-for-AML-CTF-Compliance-Platform-Sydney-Preferred_~022081922819151747063/?referrer_url_path=find_work_home</x:v>
      </x:c>
      <x:c r="S79" s="23" t="str">
        <x:v>RAG и базы знаний</x:v>
      </x:c>
      <x:c r="T79" s="23" t="str">
        <x:v>best_matches</x:v>
      </x:c>
    </x:row>
    <x:row r="80" ht="48" customHeight="1">
      <x:c r="A80" s="26" t="n">
        <x:v>76</x:v>
      </x:c>
      <x:c r="B80" s="23" t="str">
        <x:v>Upwork</x:v>
      </x:c>
      <x:c r="C80" s="23" t="str">
        <x:v>~022078557262489384782</x:v>
      </x:c>
      <x:c r="D80" s="23" t="str">
        <x:v>AI-продукты и full-stack</x:v>
      </x:c>
      <x:c r="E80" s="29" t="n">
        <x:v>70</x:v>
      </x:c>
      <x:c r="F80" s="23" t="str">
        <x:v>70-79% - хорошее</x:v>
      </x:c>
      <x:c r="G80" s="23" t="str">
        <x:v>captured - recheck</x:v>
      </x:c>
      <x:c r="H80" s="23" t="str">
        <x:v>hourly</x:v>
      </x:c>
      <x:c r="I80" s="23" t="str">
        <x:v>AI SaaS for SMEs : Cost Reduction Platform (Multi-Agent Automation)</x:v>
      </x:c>
      <x:c r="J80" s="23" t="str">
        <x:v>Основатель строит SaaS для малого и среднего бизнеса, который анализирует расходы, поставщиков и категории, предлагает экономию и автоматизирует часть анализа с помощью нескольких AI-агентов. От исполнителя ожидается опыт multi-agent систем, n8n, OpenAI и RAG.</x:v>
      </x:c>
      <x:c r="K80" s="23" t="str">
        <x:v>Хорошее совпадение по агентам, n8n, OpenAI, RAG и продуктовой архитектуре, часть подходов потенциально переиспользуема в Kora.</x:v>
      </x:c>
      <x:c r="L80" s="23" t="str">
        <x:v>Описание пока на уровне концепции без конкретного первого deliverable; клиент без подтвержденной оплаты, рейтинга и расходов, 20-50 предложений.</x:v>
      </x:c>
      <x:c r="M80" s="23" t="str">
        <x:v>Hourly</x:v>
      </x:c>
      <x:c r="N80" s="23" t="str">
        <x:v>unverified</x:v>
      </x:c>
      <x:c r="O80" s="26" t="str">
        <x:v>20 to 50</x:v>
      </x:c>
      <x:c r="P80" s="23" t="str">
        <x:v>2 weeks ago</x:v>
      </x:c>
      <x:c r="Q80" s="23" t="str">
        <x:v>France</x:v>
      </x:c>
      <x:c r="R80" s="23" t="str">
        <x:v>https://www.upwork.com/jobs/span-class-highlight-span-SaaS-for-SMEs-Cost-Reduction-Platform-Multi-span-class-highlight-Agent-span-span-class-highlight-Automation-span_~022078557262489384782/?referrer_url_path=/nx/search/jobs/</x:v>
      </x:c>
      <x:c r="S80" s="23" t="str">
        <x:v>AI-продукты и full-stack</x:v>
      </x:c>
      <x:c r="T80" s="23" t="str">
        <x:v>search:AI agent automation:page8</x:v>
      </x:c>
    </x:row>
    <x:row r="81" ht="48" customHeight="1">
      <x:c r="A81" s="26" t="n">
        <x:v>77</x:v>
      </x:c>
      <x:c r="B81" s="23" t="str">
        <x:v>Upwork</x:v>
      </x:c>
      <x:c r="C81" s="23" t="str">
        <x:v>~022082085509781447861</x:v>
      </x:c>
      <x:c r="D81" s="23" t="str">
        <x:v>Голос и мультимедиа</x:v>
      </x:c>
      <x:c r="E81" s="29" t="n">
        <x:v>70</x:v>
      </x:c>
      <x:c r="F81" s="23" t="str">
        <x:v>70-79% - хорошее</x:v>
      </x:c>
      <x:c r="G81" s="23" t="str">
        <x:v>captured - recheck</x:v>
      </x:c>
      <x:c r="H81" s="23" t="str">
        <x:v>не указано</x:v>
      </x:c>
      <x:c r="I81" s="23" t="str">
        <x:v>AI Voice Agent Developer Needed for Business Automation</x:v>
      </x:c>
      <x:c r="J81" s="23" t="str">
        <x:v>Нужен входящий и исходящий голосовой ассистент, который естественно отвечает на вопросы, квалифицирует лидов, назначает встречи и переводит звонок человеку. Требуются CRM, календарные и телефонные интеграции, тестирование задержки и качества речи.</x:v>
      </x:c>
      <x:c r="K81" s="23" t="str">
        <x:v>Есть хорошее пересечение по AI-агенту, CRM, календарям, API, workflow и надежной передаче человеку. Scope понятен и допускает отдельный первый релиз.</x:v>
      </x:c>
      <x:c r="L81" s="23" t="str">
        <x:v>Нужен подтвержденный опыт с Retell, Vapi, Twilio или SIP и голосовым UX. Указанный фиксированный бюджет $10 не соответствует production-решению, несмотря на подтвержденного клиента с расходами.</x:v>
      </x:c>
      <x:c r="M81" s="23" t="str">
        <x:v>$10.00</x:v>
      </x:c>
      <x:c r="N81" s="23" t="str">
        <x:v>verified</x:v>
      </x:c>
      <x:c r="O81" s="26" t="str">
        <x:v>20 to 50</x:v>
      </x:c>
      <x:c r="P81" s="23" t="str">
        <x:v>4 hours ago</x:v>
      </x:c>
      <x:c r="Q81" s="23" t="str">
        <x:v>United States</x:v>
      </x:c>
      <x:c r="R81" s="23" t="str">
        <x:v>https://www.upwork.com/jobs/span-class-highlight-span-Voice-span-class-highlight-Agent-span-Developer-Needed-for-Business-span-class-highlight-Automation-span_~022082085509781447861/?referrer_url_path=/nx/search/jobs/</x:v>
      </x:c>
      <x:c r="S81" s="23" t="str">
        <x:v>Голосовые агенты</x:v>
      </x:c>
      <x:c r="T81" s="23" t="str">
        <x:v>search:AI agent automation:page3</x:v>
      </x:c>
    </x:row>
    <x:row r="82" ht="48" customHeight="1">
      <x:c r="A82" s="26" t="n">
        <x:v>78</x:v>
      </x:c>
      <x:c r="B82" s="23" t="str">
        <x:v>Upwork</x:v>
      </x:c>
      <x:c r="C82" s="23" t="str">
        <x:v>~022081767567479617709</x:v>
      </x:c>
      <x:c r="D82" s="23" t="str">
        <x:v>AI-продукты и full-stack</x:v>
      </x:c>
      <x:c r="E82" s="29" t="n">
        <x:v>70</x:v>
      </x:c>
      <x:c r="F82" s="23" t="str">
        <x:v>70-79% - хорошее</x:v>
      </x:c>
      <x:c r="G82" s="23" t="str">
        <x:v>captured - recheck</x:v>
      </x:c>
      <x:c r="H82" s="23" t="str">
        <x:v>не указано</x:v>
      </x:c>
      <x:c r="I82" s="23" t="str">
        <x:v>Full-Stack AI Engineer for AI Marketing Automation Platform</x:v>
      </x:c>
      <x:c r="J82" s="23" t="str">
        <x:v>Нужно с нуля создать full-stack AI-платформу для marketing automation с агентами, чат-интерфейсом, MCP, внешними API, authentication, backend, базой данных и deployment-документацией. Ожидаются production-качество, надежность и возможность масштабирования.</x:v>
      </x:c>
      <x:c r="K82" s="23" t="str">
        <x:v>AI-агенты, MCP, API, чат, full-stack и production-архитектура хорошо соответствуют Давиду и могут дать прямое переиспользование для Kora. Конкуренция ниже многих карточек в диапазоне: 15-20 предложений.</x:v>
      </x:c>
      <x:c r="L82" s="23" t="str">
        <x:v>За $300 заказчик фактически просит целую production-платформу, поэтому scope и бюджет сильно расходятся. В требованиях акцент на Python/FastAPI, у клиента нет расходов и рейтинга, а наличие публичных MCP и chatbot-кейсов не подтверждено.</x:v>
      </x:c>
      <x:c r="M82" s="23" t="str">
        <x:v>$300.00</x:v>
      </x:c>
      <x:c r="N82" s="23" t="str">
        <x:v>verified</x:v>
      </x:c>
      <x:c r="O82" s="26" t="str">
        <x:v>15 to 20</x:v>
      </x:c>
      <x:c r="P82" s="23" t="str">
        <x:v>yesterday</x:v>
      </x:c>
      <x:c r="Q82" s="23" t="str">
        <x:v>Pakistan</x:v>
      </x:c>
      <x:c r="R82" s="23" t="str">
        <x:v>https://www.upwork.com/jobs/Full-Stack-span-class-highlight-span-Engineer-for-span-class-highlight-span-Marketing-span-class-highlight-Automation-span-Platform_~022081767567479617709/?referrer_url_path=/nx/search/jobs/</x:v>
      </x:c>
      <x:c r="S82" s="23" t="str">
        <x:v>AI-продукты и full-stack</x:v>
      </x:c>
      <x:c r="T82" s="23" t="str">
        <x:v>search:AI agent automation:page2</x:v>
      </x:c>
    </x:row>
    <x:row r="83" ht="48" customHeight="1">
      <x:c r="A83" s="26" t="n">
        <x:v>79</x:v>
      </x:c>
      <x:c r="B83" s="23" t="str">
        <x:v>Upwork</x:v>
      </x:c>
      <x:c r="C83" s="23" t="str">
        <x:v>~022081818297985759122</x:v>
      </x:c>
      <x:c r="D83" s="23" t="str">
        <x:v>Чат-боты, поддержка и CRM</x:v>
      </x:c>
      <x:c r="E83" s="29" t="n">
        <x:v>70</x:v>
      </x:c>
      <x:c r="F83" s="23" t="str">
        <x:v>70-79% - хорошее</x:v>
      </x:c>
      <x:c r="G83" s="23" t="str">
        <x:v>captured - recheck</x:v>
      </x:c>
      <x:c r="H83" s="23" t="str">
        <x:v>hourly</x:v>
      </x:c>
      <x:c r="I83" s="23" t="str">
        <x:v>n8n AI Automation Specialist for Chatbot</x:v>
      </x:c>
      <x:c r="J83" s="23" t="str">
        <x:v>Нужно собрать в n8n омниканального AI-ассистента Sara с RAG и веб-чатом для общения с клиентами на нескольких платформах. Ожидаются AI-автоматизация и цельный пользовательский опыт.</x:v>
      </x:c>
      <x:c r="K83" s="23" t="str">
        <x:v>n8n, RAG, чат-бот и многоканальная интеграция хорошо совпадают с Kora и опытом разработки AI-ассистентов. Срок менее месяца делает проект потенциально выполнимым одним специалистом.</x:v>
      </x:c>
      <x:c r="L83" s="23" t="str">
        <x:v>Описание слишком общее: не названы каналы, источники знаний, CRM, критерии качества и точные deliverables. Клиент без подтвержденной оплаты, рейтинга и расходов; конкуренция 20-50 предложений.</x:v>
      </x:c>
      <x:c r="M83" s="23" t="str">
        <x:v>Hourly: $19-$40</x:v>
      </x:c>
      <x:c r="N83" s="23" t="str">
        <x:v>unverified</x:v>
      </x:c>
      <x:c r="O83" s="26" t="str">
        <x:v>20 to 50</x:v>
      </x:c>
      <x:c r="P83" s="23" t="str">
        <x:v>yesterday</x:v>
      </x:c>
      <x:c r="Q83" s="23" t="str">
        <x:v>India</x:v>
      </x:c>
      <x:c r="R83" s="23" t="str">
        <x:v>https://www.upwork.com/jobs/n8n-Automation-Specialist-for-Chatbot_~022081818297985759122/?referrer_url_path=find_work_home</x:v>
      </x:c>
      <x:c r="S83" s="23" t="str">
        <x:v>Чат-боты, поддержка и CRM</x:v>
      </x:c>
      <x:c r="T83" s="23" t="str">
        <x:v>best_matches</x:v>
      </x:c>
    </x:row>
    <x:row r="84" ht="48" customHeight="1">
      <x:c r="A84" s="26" t="n">
        <x:v>80</x:v>
      </x:c>
      <x:c r="B84" s="23" t="str">
        <x:v>Upwork</x:v>
      </x:c>
      <x:c r="C84" s="23" t="str">
        <x:v>~022080577217360640173</x:v>
      </x:c>
      <x:c r="D84" s="23" t="str">
        <x:v>AI-агенты и оркестрация</x:v>
      </x:c>
      <x:c r="E84" s="29" t="n">
        <x:v>70</x:v>
      </x:c>
      <x:c r="F84" s="23" t="str">
        <x:v>70-79% - хорошее</x:v>
      </x:c>
      <x:c r="G84" s="23" t="str">
        <x:v>captured - recheck</x:v>
      </x:c>
      <x:c r="H84" s="23" t="str">
        <x:v>hourly</x:v>
      </x:c>
      <x:c r="I84" s="23" t="str">
        <x:v>Principal AI Agent Systems Engineer</x:v>
      </x:c>
      <x:c r="J84" s="23" t="str">
        <x:v>Нужен ведущий архитектор для AI-платформы маркетинга: спроектировать агентные workflow, orchestration, tool calling, память, API и интеграционный каркас, а также задать инженерные стандарты и довести решение до production.</x:v>
      </x:c>
      <x:c r="K84" s="23" t="str">
        <x:v>Сильное техническое пересечение по агентной архитектуре, LLM, API, памяти и production-системам, а работа может углубить платформенные решения Kora.</x:v>
      </x:c>
      <x:c r="L84" s="23" t="str">
        <x:v>Это senior lead-роль с координацией нескольких функций, 30+ часов в неделю и широким архитектурным мандатом; клиент без подтвержденной оплаты и расходов.</x:v>
      </x:c>
      <x:c r="M84" s="23" t="str">
        <x:v>Hourly</x:v>
      </x:c>
      <x:c r="N84" s="23" t="str">
        <x:v>unverified</x:v>
      </x:c>
      <x:c r="O84" s="26" t="str">
        <x:v>20 to 50</x:v>
      </x:c>
      <x:c r="P84" s="23" t="str">
        <x:v>4 days ago</x:v>
      </x:c>
      <x:c r="Q84" s="23" t="str">
        <x:v>Malaysia</x:v>
      </x:c>
      <x:c r="R84" s="23" t="str">
        <x:v>https://www.upwork.com/jobs/Principal-span-class-highlight-span-span-class-highlight-Agent-span-Systems-Engineer_~022080577217360640173/?referrer_url_path=/nx/search/jobs/</x:v>
      </x:c>
      <x:c r="S84" s="23" t="str">
        <x:v>AI-агенты и оркестрация</x:v>
      </x:c>
      <x:c r="T84" s="23" t="str">
        <x:v>search:AI agent automation:page8</x:v>
      </x:c>
    </x:row>
    <x:row r="85" ht="48" customHeight="1">
      <x:c r="A85" s="26" t="n">
        <x:v>81</x:v>
      </x:c>
      <x:c r="B85" s="23" t="str">
        <x:v>Upwork</x:v>
      </x:c>
      <x:c r="C85" s="23" t="str">
        <x:v>~022081772265073808796</x:v>
      </x:c>
      <x:c r="D85" s="23" t="str">
        <x:v>AI-продукты и full-stack</x:v>
      </x:c>
      <x:c r="E85" s="29" t="n">
        <x:v>70</x:v>
      </x:c>
      <x:c r="F85" s="23" t="str">
        <x:v>70-79% - хорошее</x:v>
      </x:c>
      <x:c r="G85" s="23" t="str">
        <x:v>captured - recheck</x:v>
      </x:c>
      <x:c r="H85" s="23" t="str">
        <x:v>не указано</x:v>
      </x:c>
      <x:c r="I85" s="23" t="str">
        <x:v>Senior AI Engineer + DevOps Expert | Python, Voice AI, AWS, n8n, &amp; Production LLM Systems</x:v>
      </x:c>
      <x:c r="J85" s="23" t="str">
        <x:v>Ищут инженера полного цикла для production AI-приложений: агенты, RAG, API, n8n, внешние интеграции, AWS-развертывание, безопасность и мониторинг. Объявление охватывает сразу множество стеков и типов будущих проектов.</x:v>
      </x:c>
      <x:c r="K85" s="23" t="str">
        <x:v>Есть прямое пересечение с агентами, RAG, OpenAI и Claude, интеграциями, автоматизацией и построением продукта от архитектуры до эксплуатации.</x:v>
      </x:c>
      <x:c r="L85" s="23" t="str">
        <x:v>Акцент на Python, FastAPI или Django, AWS и DevOps требует отдельного подтверждения опыта. Scope чрезмерно широкий для фиксированного бюджета $500, платежи клиента не подтверждены, конкуренция 20-50 заявок.</x:v>
      </x:c>
      <x:c r="M85" s="23" t="str">
        <x:v>$500.00</x:v>
      </x:c>
      <x:c r="N85" s="23" t="str">
        <x:v>unverified</x:v>
      </x:c>
      <x:c r="O85" s="26" t="str">
        <x:v>20 to 50</x:v>
      </x:c>
      <x:c r="P85" s="23" t="str">
        <x:v>yesterday</x:v>
      </x:c>
      <x:c r="Q85" s="23" t="str">
        <x:v>Australia</x:v>
      </x:c>
      <x:c r="R85" s="23" t="str">
        <x:v>https://www.upwork.com/jobs/Senior-span-class-highlight-span-Engineer-DevOps-Expert-Python-Voice-span-class-highlight-span-AWS-n8n-amp-Production-LLM-Systems_~022081772265073808796/?referrer_url_path=/nx/search/jobs/</x:v>
      </x:c>
      <x:c r="S85" s="23" t="str">
        <x:v>AI-продукты и full-stack</x:v>
      </x:c>
      <x:c r="T85" s="23" t="str">
        <x:v>search:AI agent automation:page2</x:v>
      </x:c>
    </x:row>
    <x:row r="86" ht="48" customHeight="1">
      <x:c r="A86" s="26" t="n">
        <x:v>82</x:v>
      </x:c>
      <x:c r="B86" s="23" t="str">
        <x:v>Upwork</x:v>
      </x:c>
      <x:c r="C86" s="23" t="str">
        <x:v>~022082101814561162150</x:v>
      </x:c>
      <x:c r="D86" s="23" t="str">
        <x:v>Чат-боты, поддержка и CRM</x:v>
      </x:c>
      <x:c r="E86" s="29" t="n">
        <x:v>70</x:v>
      </x:c>
      <x:c r="F86" s="23" t="str">
        <x:v>70-79% - хорошее</x:v>
      </x:c>
      <x:c r="G86" s="23" t="str">
        <x:v>captured - recheck</x:v>
      </x:c>
      <x:c r="H86" s="23" t="str">
        <x:v>не указано</x:v>
      </x:c>
      <x:c r="I86" s="23" t="str">
        <x:v>WhatsApp AI Chatbot Developer for Customer Support &amp; CRM Automation</x:v>
      </x:c>
      <x:c r="J86" s="23" t="str">
        <x:v>Нужно создать production WhatsApp-бота для поддержки, квалификации лидов, записи, статусов заказов и передачи диалога человеку. Требуются WhatsApp Business API, GoHighLevel или другая CRM, Google Sheets, базы, n8n или Make.com, логирование и аналитика.</x:v>
      </x:c>
      <x:c r="K86" s="23" t="str">
        <x:v>Сценарий поддержки, CRM, автоматизации, LLM API и human handoff хорошо совпадает с продуктовой зоной Kora и инженерным профилем Давида. Клиент подтвержден, имеет рейтинг 5.0, $2K+ расходов и относительно умеренные 15-20 предложений.</x:v>
      </x:c>
      <x:c r="L86" s="23" t="str">
        <x:v>Фиксированный бюджет $5 не соответствует production-чатботу и перечню интеграций. Нужен доказанный опыт с WhatsApp Business API, GoHighLevel и n8n или Make.com, который не следует считать подтвержденным.</x:v>
      </x:c>
      <x:c r="M86" s="23" t="str">
        <x:v>$5.00</x:v>
      </x:c>
      <x:c r="N86" s="23" t="str">
        <x:v>verified</x:v>
      </x:c>
      <x:c r="O86" s="26" t="str">
        <x:v>15 to 20</x:v>
      </x:c>
      <x:c r="P86" s="23" t="str">
        <x:v>3 hours ago</x:v>
      </x:c>
      <x:c r="Q86" s="23" t="str">
        <x:v>NGA</x:v>
      </x:c>
      <x:c r="R86" s="23" t="str">
        <x:v>https://www.upwork.com/jobs/WhatsApp-span-class-highlight-span-Chatbot-Developer-for-Customer-Support-amp-CRM-span-class-highlight-Automation-span_~022082101814561162150/?referrer_url_path=/nx/search/jobs/</x:v>
      </x:c>
      <x:c r="S86" s="23" t="str">
        <x:v>Чат-боты, поддержка и CRM</x:v>
      </x:c>
      <x:c r="T86" s="23" t="str">
        <x:v>search:AI agent automation:page2</x:v>
      </x:c>
    </x:row>
    <x:row r="87" ht="48" customHeight="1">
      <x:c r="A87" s="26" t="n">
        <x:v>83</x:v>
      </x:c>
      <x:c r="B87" s="23" t="str">
        <x:v>FL.ru</x:v>
      </x:c>
      <x:c r="C87" s="23" t="str">
        <x:v>5510040</x:v>
      </x:c>
      <x:c r="D87" s="23" t="str">
        <x:v>Инфраструктура и Claude</x:v>
      </x:c>
      <x:c r="E87" s="29" t="n">
        <x:v>70</x:v>
      </x:c>
      <x:c r="F87" s="23" t="str">
        <x:v>70-79% - хорошее</x:v>
      </x:c>
      <x:c r="G87" s="23" t="str">
        <x:v>assigned</x:v>
      </x:c>
      <x:c r="H87" s="23" t="str">
        <x:v>project</x:v>
      </x:c>
      <x:c r="I87" s="23" t="str">
        <x:v>Настройка подключения Claude Code</x:v>
      </x:c>
      <x:c r="J87" s="23" t="str">
        <x:v>Диагностика неудачных попыток подключения Claude Code. Исполнитель уже определен.</x:v>
      </x:c>
      <x:c r="K87" s="23" t="str">
        <x:v>Хороший инженерный метч по Claude, MCP, окружению и интеграциям. Это скорее денежный bridge и исследование боли, чем прямой Kora PMF.</x:v>
      </x:c>
      <x:c r="L87" s="23" t="str">
        <x:v>Исполнитель уже определен: строка только для исторического спроса</x:v>
      </x:c>
      <x:c r="M87" s="23" t="str">
        <x:v>по договоренности</x:v>
      </x:c>
      <x:c r="N87" s="23" t="str">
        <x:v>не показано</x:v>
      </x:c>
      <x:c r="O87" s="26" t="n">
        <x:v>0</x:v>
      </x:c>
      <x:c r="P87" s="23" t="str">
        <x:v>не сохранено</x:v>
      </x:c>
      <x:c r="Q87" s="23" t="str">
        <x:v>RU</x:v>
      </x:c>
      <x:c r="R87" s="23" t="str">
        <x:v>https://www.fl.ru/projects/5510040/nastroyka-podklyucheniya-claude-code-.html</x:v>
      </x:c>
      <x:c r="S87" s="23" t="str">
        <x:v>Claude / инфраструктура</x:v>
      </x:c>
      <x:c r="T87" s="23" t="str">
        <x:v>FL.ru AI category</x:v>
      </x:c>
    </x:row>
    <x:row r="88" ht="48" customHeight="1">
      <x:c r="A88" s="26" t="n">
        <x:v>84</x:v>
      </x:c>
      <x:c r="B88" s="23" t="str">
        <x:v>FL.ru</x:v>
      </x:c>
      <x:c r="C88" s="23" t="str">
        <x:v>5514683</x:v>
      </x:c>
      <x:c r="D88" s="23" t="str">
        <x:v>Риск / исключить</x:v>
      </x:c>
      <x:c r="E88" s="29" t="n">
        <x:v>65</x:v>
      </x:c>
      <x:c r="F88" s="23" t="str">
        <x:v>60-69% - частичное</x:v>
      </x:c>
      <x:c r="G88" s="23" t="str">
        <x:v>open</x:v>
      </x:c>
      <x:c r="H88" s="23" t="str">
        <x:v>project</x:v>
      </x:c>
      <x:c r="I88" s="23" t="str">
        <x:v>hh.ru API и ChatGPT для анализа резюме</x:v>
      </x:c>
      <x:c r="J88" s="23" t="str">
        <x:v>Поиск, рейтинг и анализ кандидатов. Низкий бюджет и высокий риск автоматизированных HR-решений.</x:v>
      </x:c>
      <x:c r="K88" s="23" t="str">
        <x:v>Даже при техническом совпадении задача не подходит для первого безопасного оффера Kora.</x:v>
      </x:c>
      <x:c r="L88" s="23" t="str">
        <x:v>Этический, правовой или platform-policy риск. 26 ответов</x:v>
      </x:c>
      <x:c r="M88" s="23" t="str">
        <x:v>500</x:v>
      </x:c>
      <x:c r="N88" s="23" t="str">
        <x:v>не показано</x:v>
      </x:c>
      <x:c r="O88" s="26" t="n">
        <x:v>26</x:v>
      </x:c>
      <x:c r="P88" s="23" t="str">
        <x:v>не сохранено</x:v>
      </x:c>
      <x:c r="Q88" s="23" t="str">
        <x:v>RU</x:v>
      </x:c>
      <x:c r="R88" s="23" t="str">
        <x:v>https://www.fl.ru/projects/5514683/integratsiya-hhru-api--chatgpt-sol-56-dlya-analiza-i-razbora-rezyume-i-otvetov-kandidatov.html</x:v>
      </x:c>
      <x:c r="S88" s="23" t="str">
        <x:v>Риск / исключить</x:v>
      </x:c>
      <x:c r="T88" s="23" t="str">
        <x:v>FL.ru AI category</x:v>
      </x:c>
    </x:row>
    <x:row r="89" ht="48" customHeight="1">
      <x:c r="A89" s="26" t="n">
        <x:v>85</x:v>
      </x:c>
      <x:c r="B89" s="23" t="str">
        <x:v>FL.ru</x:v>
      </x:c>
      <x:c r="C89" s="23" t="str">
        <x:v>5512599</x:v>
      </x:c>
      <x:c r="D89" s="23" t="str">
        <x:v>Вакансии и роли</x:v>
      </x:c>
      <x:c r="E89" s="29" t="n">
        <x:v>65</x:v>
      </x:c>
      <x:c r="F89" s="23" t="str">
        <x:v>60-69% - частичное</x:v>
      </x:c>
      <x:c r="G89" s="23" t="str">
        <x:v>open</x:v>
      </x:c>
      <x:c r="H89" s="23" t="str">
        <x:v>vacancy</x:v>
      </x:c>
      <x:c r="I89" s="23" t="str">
        <x:v>Вайб-кодер в команду</x:v>
      </x:c>
      <x:c r="J89" s="23" t="str">
        <x:v>Part-time роль для быстрого создания прототипов с AI-инструментами.</x:v>
      </x:c>
      <x:c r="K89" s="23" t="str">
        <x:v>Метч относится к навыкам Давида, но это вакансия или найм, а не доказательство покупки Kora.</x:v>
      </x:c>
      <x:c r="L89" s="23" t="str">
        <x:v>Это вакансия, а не buyer project demand для Kora. 133 ответов: высокая конкуренция</x:v>
      </x:c>
      <x:c r="M89" s="23" t="str">
        <x:v>по результатам собеседования</x:v>
      </x:c>
      <x:c r="N89" s="23" t="str">
        <x:v>не показано</x:v>
      </x:c>
      <x:c r="O89" s="26" t="n">
        <x:v>133</x:v>
      </x:c>
      <x:c r="P89" s="23" t="str">
        <x:v>не сохранено</x:v>
      </x:c>
      <x:c r="Q89" s="23" t="str">
        <x:v>RU</x:v>
      </x:c>
      <x:c r="R89" s="23" t="str">
        <x:v>https://www.fl.ru/projects/5512599/vayb-koder-v-komandu-part-time-1020-ch-ned.html</x:v>
      </x:c>
      <x:c r="S89" s="23" t="str">
        <x:v>Вакансия / роль</x:v>
      </x:c>
      <x:c r="T89" s="23" t="str">
        <x:v>FL.ru AI category</x:v>
      </x:c>
    </x:row>
    <x:row r="90" ht="48" customHeight="1">
      <x:c r="A90" s="26" t="n">
        <x:v>86</x:v>
      </x:c>
      <x:c r="B90" s="23" t="str">
        <x:v>FL.ru</x:v>
      </x:c>
      <x:c r="C90" s="23" t="str">
        <x:v>5514749</x:v>
      </x:c>
      <x:c r="D90" s="23" t="str">
        <x:v>Общие, слабые или off-core</x:v>
      </x:c>
      <x:c r="E90" s="29" t="n">
        <x:v>65</x:v>
      </x:c>
      <x:c r="F90" s="23" t="str">
        <x:v>60-69% - частичное</x:v>
      </x:c>
      <x:c r="G90" s="23" t="str">
        <x:v>open</x:v>
      </x:c>
      <x:c r="H90" s="23" t="str">
        <x:v>project</x:v>
      </x:c>
      <x:c r="I90" s="23" t="str">
        <x:v>Дизайн-система для использования Claude</x:v>
      </x:c>
      <x:c r="J90" s="23" t="str">
        <x:v>Перенести готовые макеты Figma в дизайн-систему, удобную для дальнейшей работы Claude.</x:v>
      </x:c>
      <x:c r="K90" s="23" t="str">
        <x:v>Claude является последующим потребителем дизайн-системы; задача не подтверждает спрос на агентную инфраструктуру Kora.</x:v>
      </x:c>
      <x:c r="L90" s="23" t="str">
        <x:v>5 ответов</x:v>
      </x:c>
      <x:c r="M90" s="23" t="str">
        <x:v>2 000</x:v>
      </x:c>
      <x:c r="N90" s="23" t="str">
        <x:v>не показано</x:v>
      </x:c>
      <x:c r="O90" s="26" t="n">
        <x:v>5</x:v>
      </x:c>
      <x:c r="P90" s="23" t="str">
        <x:v>не сохранено</x:v>
      </x:c>
      <x:c r="Q90" s="23" t="str">
        <x:v>RU</x:v>
      </x:c>
      <x:c r="R90" s="23" t="str">
        <x:v>https://www.fl.ru/projects/5514749/nujno-sozdat-dizayn-sistemu-po-gotovyim-maketam-dlya-ispolzovaniya-claude.html</x:v>
      </x:c>
      <x:c r="S90" s="23" t="str">
        <x:v>Claude / инфраструктура</x:v>
      </x:c>
      <x:c r="T90" s="23" t="str">
        <x:v>FL.ru AI category</x:v>
      </x:c>
    </x:row>
    <x:row r="91" ht="48" customHeight="1">
      <x:c r="A91" s="26" t="n">
        <x:v>87</x:v>
      </x:c>
      <x:c r="B91" s="23" t="str">
        <x:v>FL.ru</x:v>
      </x:c>
      <x:c r="C91" s="23" t="str">
        <x:v>5514267</x:v>
      </x:c>
      <x:c r="D91" s="23" t="str">
        <x:v>Автоматизация процессов и интеграции</x:v>
      </x:c>
      <x:c r="E91" s="29" t="n">
        <x:v>65</x:v>
      </x:c>
      <x:c r="F91" s="23" t="str">
        <x:v>60-69% - частичное</x:v>
      </x:c>
      <x:c r="G91" s="23" t="str">
        <x:v>open</x:v>
      </x:c>
      <x:c r="H91" s="23" t="str">
        <x:v>project</x:v>
      </x:c>
      <x:c r="I91" s="23" t="str">
        <x:v>Парсер для многошаговых форм</x:v>
      </x:c>
      <x:c r="J91" s="23" t="str">
        <x:v>Автоматическое заполнение форм в личном кабинете плюс спецификация, пригодная для AI-разработки.</x:v>
      </x:c>
      <x:c r="K91" s="23" t="str">
        <x:v>Совпадает с сильными сторонами Давида в автоматизации, API и контролируемой обработке данных. Нужен узкий acceptance test.</x:v>
      </x:c>
      <x:c r="L91" s="23" t="str">
        <x:v>37 ответов: высокая конкуренция</x:v>
      </x:c>
      <x:c r="M91" s="23" t="str">
        <x:v>20 000</x:v>
      </x:c>
      <x:c r="N91" s="23" t="str">
        <x:v>не показано</x:v>
      </x:c>
      <x:c r="O91" s="26" t="n">
        <x:v>37</x:v>
      </x:c>
      <x:c r="P91" s="23" t="str">
        <x:v>не сохранено</x:v>
      </x:c>
      <x:c r="Q91" s="23" t="str">
        <x:v>RU</x:v>
      </x:c>
      <x:c r="R91" s="23" t="str">
        <x:v>https://www.fl.ru/projects/5514267/napisat-parser-kotoryiy-zapolnyaet-mnogoshagovyie-formyi-v-lichnom-kabinete.html</x:v>
      </x:c>
      <x:c r="S91" s="23" t="str">
        <x:v>Автоматизация / разработка</x:v>
      </x:c>
      <x:c r="T91" s="23" t="str">
        <x:v>FL.ru AI category</x:v>
      </x:c>
    </x:row>
    <x:row r="92" ht="48" customHeight="1">
      <x:c r="A92" s="26" t="n">
        <x:v>88</x:v>
      </x:c>
      <x:c r="B92" s="23" t="str">
        <x:v>Upwork</x:v>
      </x:c>
      <x:c r="C92" s="23" t="str">
        <x:v>~022082036539400908402</x:v>
      </x:c>
      <x:c r="D92" s="23" t="str">
        <x:v>AI-агенты и оркестрация</x:v>
      </x:c>
      <x:c r="E92" s="29" t="n">
        <x:v>65</x:v>
      </x:c>
      <x:c r="F92" s="23" t="str">
        <x:v>60-69% - частичное</x:v>
      </x:c>
      <x:c r="G92" s="23" t="str">
        <x:v>captured - recheck</x:v>
      </x:c>
      <x:c r="H92" s="23" t="str">
        <x:v>hourly</x:v>
      </x:c>
      <x:c r="I92" s="23" t="str">
        <x:v>Agentic AI Engineer – MCP, A2A, RAG &amp; Production LLM Systems</x:v>
      </x:c>
      <x:c r="J92" s="23" t="str">
        <x:v>Ищут инженера для долгосрочной разработки production-agent systems с MCP, A2A, multi-agent coordination, RAG, памятью, human approval, безопасными tool calls, evaluation, observability и deployment. Также ожидаются Docker, Kubernetes, CI/CD, защита данных и подробная эксплуатационная документация.</x:v>
      </x:c>
      <x:c r="K92" s="23" t="str">
        <x:v>Agent orchestration, MCP, RAG, structured outputs, human-in-the-loop, API и надежность напрямую связаны с Kora. Описание технически содержательное и дает ясное представление об ожидаемой архитектуре.</x:v>
      </x:c>
      <x:c r="L92" s="23" t="str">
        <x:v>Требуется широкий подтвержденный production-опыт с MCP, A2A, Python, Kubernetes, security и MLOps, который нельзя считать доказанным по имеющимся данным. Это долгосрочная загрузка 30+ часов, клиент без подтвержденной оплаты и истории, ставка $15-$40.</x:v>
      </x:c>
      <x:c r="M92" s="23" t="str">
        <x:v>Hourly: $15-$40</x:v>
      </x:c>
      <x:c r="N92" s="23" t="str">
        <x:v>unverified</x:v>
      </x:c>
      <x:c r="O92" s="26" t="str">
        <x:v>20 to 50</x:v>
      </x:c>
      <x:c r="P92" s="23" t="str">
        <x:v>7 hours ago</x:v>
      </x:c>
      <x:c r="Q92" s="23" t="str">
        <x:v>United Kingdom</x:v>
      </x:c>
      <x:c r="R92" s="23" t="str">
        <x:v>https://www.upwork.com/jobs/Agentic-Engineer-MCP-A2A-RAG-Production-LLM-Systems_~022082036539400908402/?referrer_url_path=find_work_home</x:v>
      </x:c>
      <x:c r="S92" s="23" t="str">
        <x:v>AI-агенты и оркестрация</x:v>
      </x:c>
      <x:c r="T92" s="23" t="str">
        <x:v>best_matches</x:v>
      </x:c>
    </x:row>
    <x:row r="93" ht="48" customHeight="1">
      <x:c r="A93" s="26" t="n">
        <x:v>89</x:v>
      </x:c>
      <x:c r="B93" s="23" t="str">
        <x:v>Upwork</x:v>
      </x:c>
      <x:c r="C93" s="23" t="str">
        <x:v>~022073334803775970880</x:v>
      </x:c>
      <x:c r="D93" s="23" t="str">
        <x:v>Автоматизация процессов и интеграции</x:v>
      </x:c>
      <x:c r="E93" s="29" t="n">
        <x:v>65</x:v>
      </x:c>
      <x:c r="F93" s="23" t="str">
        <x:v>60-69% - частичное</x:v>
      </x:c>
      <x:c r="G93" s="23" t="str">
        <x:v>captured - recheck</x:v>
      </x:c>
      <x:c r="H93" s="23" t="str">
        <x:v>hourly</x:v>
      </x:c>
      <x:c r="I93" s="23" t="str">
        <x:v>AI Agent Developer for Sales Automation</x:v>
      </x:c>
      <x:c r="J93" s="23" t="str">
        <x:v>Нужно проанализировать существующий процесс продаж, спроектировать AI-решение и автоматизировать workflow для повышения эффективности продаж и взаимодействия с клиентами.</x:v>
      </x:c>
      <x:c r="K93" s="23" t="str">
        <x:v>Продажи, агенты, API и автоматизация соответствуют техническому профилю и могут дать повторно используемый CRM-сценарий для Kora.</x:v>
      </x:c>
      <x:c r="L93" s="23" t="str">
        <x:v>Нет описания текущего workflow, систем, результата и метрик; клиент без подтвержденной оплаты и расходов, заявлен экспертный уровень и 20-50 предложений.</x:v>
      </x:c>
      <x:c r="M93" s="23" t="str">
        <x:v>Hourly: $20.00 - $40.00</x:v>
      </x:c>
      <x:c r="N93" s="23" t="str">
        <x:v>unverified</x:v>
      </x:c>
      <x:c r="O93" s="26" t="str">
        <x:v>20 to 50</x:v>
      </x:c>
      <x:c r="P93" s="23" t="str">
        <x:v>4 weeks ago</x:v>
      </x:c>
      <x:c r="Q93" s="23" t="str">
        <x:v>Pakistan</x:v>
      </x:c>
      <x:c r="R93" s="23" t="str">
        <x:v>https://www.upwork.com/jobs/span-class-highlight-span-span-class-highlight-Agent-span-Developer-for-Sales-span-class-highlight-Automation-span_~022073334803775970880/?referrer_url_path=/nx/search/jobs/</x:v>
      </x:c>
      <x:c r="S93" s="23" t="str">
        <x:v>Автоматизация процессов и интеграции</x:v>
      </x:c>
      <x:c r="T93" s="23" t="str">
        <x:v>search:AI agent automation:page8</x:v>
      </x:c>
    </x:row>
    <x:row r="94" ht="48" customHeight="1">
      <x:c r="A94" s="26" t="n">
        <x:v>90</x:v>
      </x:c>
      <x:c r="B94" s="23" t="str">
        <x:v>Upwork</x:v>
      </x:c>
      <x:c r="C94" s="23" t="str">
        <x:v>~022081068879263135634</x:v>
      </x:c>
      <x:c r="D94" s="23" t="str">
        <x:v>Голос и мультимедиа</x:v>
      </x:c>
      <x:c r="E94" s="29" t="n">
        <x:v>65</x:v>
      </x:c>
      <x:c r="F94" s="23" t="str">
        <x:v>60-69% - частичное</x:v>
      </x:c>
      <x:c r="G94" s="23" t="str">
        <x:v>captured - recheck</x:v>
      </x:c>
      <x:c r="H94" s="23" t="str">
        <x:v>не указано</x:v>
      </x:c>
      <x:c r="I94" s="23" t="str">
        <x:v>AI Agent Developer Needed – Multi-Model Voice &amp; Chat System (Claude, OpenAI, RAG)</x:v>
      </x:c>
      <x:c r="J94" s="23" t="str">
        <x:v>Нужно создать общий backend для телефонного и чат-агента с RAG-базой, маршрутизацией между Claude и OpenAI, GoHighLevel CRM и эскалацией через n8n или Zapier. Также требуются транскрипты, базовая аналитика, API и документация.</x:v>
      </x:c>
      <x:c r="K94" s="23" t="str">
        <x:v>Сильное совпадение по агентной архитектуре, Claude/OpenAI, RAG, CRM, API и безопасной передаче неуверенных ответов человеку.</x:v>
      </x:c>
      <x:c r="L94" s="23" t="str">
        <x:v>Требуются Python/FastAPI и production voice-интеграции Twilio/Retell; фиксированные $100 явно не соответствуют заявленному объему, клиент без расходов и рейтинга.</x:v>
      </x:c>
      <x:c r="M94" s="23" t="str">
        <x:v>$100.00</x:v>
      </x:c>
      <x:c r="N94" s="23" t="str">
        <x:v>verified</x:v>
      </x:c>
      <x:c r="O94" s="26" t="str">
        <x:v>20 to 50</x:v>
      </x:c>
      <x:c r="P94" s="23" t="str">
        <x:v>3 days ago</x:v>
      </x:c>
      <x:c r="Q94" s="23" t="str">
        <x:v>United Arab Emirates</x:v>
      </x:c>
      <x:c r="R94" s="23" t="str">
        <x:v>https://www.upwork.com/jobs/span-class-highlight-span-span-class-highlight-Agent-span-Developer-Needed-Multi-Model-Voice-amp-Chat-System-Claude-Open-span-class-highlight-span-RAG_~022081068879263135634/?referrer_url_path=/nx/search/jobs/</x:v>
      </x:c>
      <x:c r="S94" s="23" t="str">
        <x:v>Голосовые агенты</x:v>
      </x:c>
      <x:c r="T94" s="23" t="str">
        <x:v>search:AI agent automation:page7</x:v>
      </x:c>
    </x:row>
    <x:row r="95" ht="48" customHeight="1">
      <x:c r="A95" s="26" t="n">
        <x:v>91</x:v>
      </x:c>
      <x:c r="B95" s="23" t="str">
        <x:v>Upwork</x:v>
      </x:c>
      <x:c r="C95" s="23" t="str">
        <x:v>~022071633142223961971</x:v>
      </x:c>
      <x:c r="D95" s="23" t="str">
        <x:v>AI-агенты и оркестрация</x:v>
      </x:c>
      <x:c r="E95" s="29" t="n">
        <x:v>65</x:v>
      </x:c>
      <x:c r="F95" s="23" t="str">
        <x:v>60-69% - частичное</x:v>
      </x:c>
      <x:c r="G95" s="23" t="str">
        <x:v>captured - recheck</x:v>
      </x:c>
      <x:c r="H95" s="23" t="str">
        <x:v>не указано</x:v>
      </x:c>
      <x:c r="I95" s="23" t="str">
        <x:v>AI Agent Engineer for Business Automation</x:v>
      </x:c>
      <x:c r="J95" s="23" t="str">
        <x:v>Требуется спроектировать и реализовать enterprise-grade многоагентную систему для автоматизации сложных бизнес-процессов и поддержки решений.</x:v>
      </x:c>
      <x:c r="K95" s="23" t="str">
        <x:v>Тематика напрямую пересекается с AI-агентами, автоматизацией и архитектурой Kora.</x:v>
      </x:c>
      <x:c r="L95" s="23" t="str">
        <x:v>Задача описана слишком общо, а фиксированный бюджет $120 нереалистичен для enterprise-grade системы; клиент верифицирован, но без расходов и рейтинга, 20-50 предложений.</x:v>
      </x:c>
      <x:c r="M95" s="23" t="str">
        <x:v>$120.00</x:v>
      </x:c>
      <x:c r="N95" s="23" t="str">
        <x:v>verified</x:v>
      </x:c>
      <x:c r="O95" s="26" t="str">
        <x:v>20 to 50</x:v>
      </x:c>
      <x:c r="P95" s="23" t="str">
        <x:v>4 weeks ago</x:v>
      </x:c>
      <x:c r="Q95" s="23" t="str">
        <x:v>United Kingdom</x:v>
      </x:c>
      <x:c r="R95" s="23" t="str">
        <x:v>https://www.upwork.com/jobs/span-class-highlight-span-span-class-highlight-Agent-span-Engineer-for-Business-span-class-highlight-Automation-span_~022071633142223961971/?referrer_url_path=/nx/search/jobs/</x:v>
      </x:c>
      <x:c r="S95" s="23" t="str">
        <x:v>AI-агенты и оркестрация</x:v>
      </x:c>
      <x:c r="T95" s="23" t="str">
        <x:v>search:AI agent automation:page8</x:v>
      </x:c>
    </x:row>
    <x:row r="96" ht="48" customHeight="1">
      <x:c r="A96" s="26" t="n">
        <x:v>92</x:v>
      </x:c>
      <x:c r="B96" s="23" t="str">
        <x:v>Upwork</x:v>
      </x:c>
      <x:c r="C96" s="23" t="str">
        <x:v>~022082043668763252124</x:v>
      </x:c>
      <x:c r="D96" s="23" t="str">
        <x:v>Голос и мультимедиа</x:v>
      </x:c>
      <x:c r="E96" s="29" t="n">
        <x:v>65</x:v>
      </x:c>
      <x:c r="F96" s="23" t="str">
        <x:v>60-69% - частичное</x:v>
      </x:c>
      <x:c r="G96" s="23" t="str">
        <x:v>captured - recheck</x:v>
      </x:c>
      <x:c r="H96" s="23" t="str">
        <x:v>hourly</x:v>
      </x:c>
      <x:c r="I96" s="23" t="str">
        <x:v>AI Automation | AI Voice Agent &amp; n8n Automation | Vapi / Retell AI / Eleven Labs | LLM Integration</x:v>
      </x:c>
      <x:c r="J96" s="23" t="str">
        <x:v>Нужен специалист для создания голосовых AI-агентов на Vapi, Retell AI, Bland AI или ElevenLabs и связанных n8n-процессов. Агенты должны принимать звонки, квалифицировать лидов, бронировать встречи, поддерживать клиентов и работать с CRM, календарями и другими сервисами.</x:v>
      </x:c>
      <x:c r="K96" s="23" t="str">
        <x:v>n8n, TypeScript, LLM API, webhooks, CRM и бизнес-автоматизация хорошо совпадают с технической зоной Давида и частично с Kora. Карточка достаточно подробно описывает функции и предполагает продолжающееся сотрудничество.</x:v>
      </x:c>
      <x:c r="L96" s="23" t="str">
        <x:v>Ключевая специализация здесь - production voice agents, включая latency, interruption handling, call routing и human handoff; подтвержденного опыта Давида с Vapi, Retell или телефонией нет. Клиент потратил только $100, а предложений уже 50+.</x:v>
      </x:c>
      <x:c r="M96" s="23" t="str">
        <x:v>Hourly: $20-$40</x:v>
      </x:c>
      <x:c r="N96" s="23" t="str">
        <x:v>verified</x:v>
      </x:c>
      <x:c r="O96" s="26" t="str">
        <x:v>50+</x:v>
      </x:c>
      <x:c r="P96" s="23" t="str">
        <x:v>7 hours ago</x:v>
      </x:c>
      <x:c r="Q96" s="23" t="str">
        <x:v>India</x:v>
      </x:c>
      <x:c r="R96" s="23" t="str">
        <x:v>https://www.upwork.com/jobs/Automation-Voice-Agent-n8n-Automation-Vapi-Retell-Eleven-Labs-LLM-Integration_~022082043668763252124/?referrer_url_path=find_work_home</x:v>
      </x:c>
      <x:c r="S96" s="23" t="str">
        <x:v>Голосовые агенты</x:v>
      </x:c>
      <x:c r="T96" s="23" t="str">
        <x:v>best_matches</x:v>
      </x:c>
    </x:row>
    <x:row r="97" ht="48" customHeight="1">
      <x:c r="A97" s="26" t="n">
        <x:v>93</x:v>
      </x:c>
      <x:c r="B97" s="23" t="str">
        <x:v>Upwork</x:v>
      </x:c>
      <x:c r="C97" s="23" t="str">
        <x:v>~022073731877212942543</x:v>
      </x:c>
      <x:c r="D97" s="23" t="str">
        <x:v>Автоматизация процессов и интеграции</x:v>
      </x:c>
      <x:c r="E97" s="29" t="n">
        <x:v>65</x:v>
      </x:c>
      <x:c r="F97" s="23" t="str">
        <x:v>60-69% - частичное</x:v>
      </x:c>
      <x:c r="G97" s="23" t="str">
        <x:v>captured - recheck</x:v>
      </x:c>
      <x:c r="H97" s="23" t="str">
        <x:v>hourly</x:v>
      </x:c>
      <x:c r="I97" s="23" t="str">
        <x:v>AI Automation Developer Needed (Workflows + AI Agents)</x:v>
      </x:c>
      <x:c r="J97" s="23" t="str">
        <x:v>Нужен разработчик для production-ready AI-workflows и агентов, автоматизирующих бизнес-операции через AI API, Zapier, Make или n8n. Заказчик просит показать прошлые автоматизации, использованные инструменты и примеры агентов.</x:v>
      </x:c>
      <x:c r="K97" s="23" t="str">
        <x:v>Тема AI-агентов, API и workflow automation напрямую соответствует техническому профилю Давида и Kora. Диапазон $30-60/час и занятость менее 30 часов в неделю потенциально приемлемы.</x:v>
      </x:c>
      <x:c r="L97" s="23" t="str">
        <x:v>Описание общее и не содержит конкретного процесса, интеграций, deliverables или критериев приемки. У клиента подтверждена оплата, но $0 расходов и нет рейтинга; откликов 50+.</x:v>
      </x:c>
      <x:c r="M97" s="23" t="str">
        <x:v>Hourly: $30.00 - $60.00</x:v>
      </x:c>
      <x:c r="N97" s="23" t="str">
        <x:v>verified</x:v>
      </x:c>
      <x:c r="O97" s="26" t="str">
        <x:v>50+</x:v>
      </x:c>
      <x:c r="P97" s="23" t="str">
        <x:v>3 weeks ago</x:v>
      </x:c>
      <x:c r="Q97" s="23" t="str">
        <x:v>United Kingdom</x:v>
      </x:c>
      <x:c r="R97" s="23" t="str">
        <x:v>https://www.upwork.com/jobs/span-class-highlight-span-span-class-highlight-Automation-span-Developer-Needed-Workflows-span-class-highlight-span-span-class-highlight-Agents-span_~022073731877212942543/?referrer_url_path=/nx/search/jobs/</x:v>
      </x:c>
      <x:c r="S97" s="23" t="str">
        <x:v>Автоматизация процессов и интеграции</x:v>
      </x:c>
      <x:c r="T97" s="23" t="str">
        <x:v>search:AI agent automation:page6</x:v>
      </x:c>
    </x:row>
    <x:row r="98" ht="48" customHeight="1">
      <x:c r="A98" s="26" t="n">
        <x:v>94</x:v>
      </x:c>
      <x:c r="B98" s="23" t="str">
        <x:v>Upwork</x:v>
      </x:c>
      <x:c r="C98" s="23" t="str">
        <x:v>~022082118537772280232</x:v>
      </x:c>
      <x:c r="D98" s="23" t="str">
        <x:v>AI-агенты и оркестрация</x:v>
      </x:c>
      <x:c r="E98" s="29" t="n">
        <x:v>65</x:v>
      </x:c>
      <x:c r="F98" s="23" t="str">
        <x:v>60-69% - частичное</x:v>
      </x:c>
      <x:c r="G98" s="23" t="str">
        <x:v>captured - recheck</x:v>
      </x:c>
      <x:c r="H98" s="23" t="str">
        <x:v>hourly</x:v>
      </x:c>
      <x:c r="I98" s="23" t="str">
        <x:v>AI Automation Engineer</x:v>
      </x:c>
      <x:c r="J98" s="23" t="str">
        <x:v>Ищут инженера, который будет самостоятельно вести долгосрочные production-проекты по AI-агентам, LLM-интеграциям и автоматизации. В обязанности входят разработка, эксплуатация и оптимизация AI-систем вместе с другими командами.</x:v>
      </x:c>
      <x:c r="K98" s="23" t="str">
        <x:v>AI-агенты, API, Claude, Supabase и production-автоматизация хорошо совпадают с техническим профилем. Долгосрочная работа может дать глубокий опыт эксплуатации агентных систем.</x:v>
      </x:c>
      <x:c r="L98" s="23" t="str">
        <x:v>Описание не содержит конкретного продукта, workflow, deliverables или данных о клиенте, поэтому оценка экономики и solo feasibility ограничена. Это роль более чем на шесть месяцев, а диапазон ставки очень широкий: $10-$50.</x:v>
      </x:c>
      <x:c r="M98" s="23" t="str">
        <x:v>Hourly: $10-$50</x:v>
      </x:c>
      <x:c r="N98" s="23" t="str">
        <x:v>missing</x:v>
      </x:c>
      <x:c r="O98" s="26" t="str">
        <x:v>20 to 50</x:v>
      </x:c>
      <x:c r="P98" s="23" t="str">
        <x:v>2 hours ago</x:v>
      </x:c>
      <x:c r="Q98" s="23"/>
      <x:c r="R98" s="23" t="str">
        <x:v>https://www.upwork.com/jobs/Automation-Engineer_~022082118537772280232/?referrer_url_path=find_work_home</x:v>
      </x:c>
      <x:c r="S98" s="23" t="str">
        <x:v>AI-агенты и оркестрация</x:v>
      </x:c>
      <x:c r="T98" s="23" t="str">
        <x:v>best_matches</x:v>
      </x:c>
    </x:row>
    <x:row r="99" ht="48" customHeight="1">
      <x:c r="A99" s="26" t="n">
        <x:v>95</x:v>
      </x:c>
      <x:c r="B99" s="23" t="str">
        <x:v>Upwork</x:v>
      </x:c>
      <x:c r="C99" s="23" t="str">
        <x:v>~022080259272497837564</x:v>
      </x:c>
      <x:c r="D99" s="23" t="str">
        <x:v>Голос и мультимедиа</x:v>
      </x:c>
      <x:c r="E99" s="29" t="n">
        <x:v>65</x:v>
      </x:c>
      <x:c r="F99" s="23" t="str">
        <x:v>60-69% - частичное</x:v>
      </x:c>
      <x:c r="G99" s="23" t="str">
        <x:v>captured - recheck</x:v>
      </x:c>
      <x:c r="H99" s="23" t="str">
        <x:v>hourly</x:v>
      </x:c>
      <x:c r="I99" s="23" t="str">
        <x:v>AI Calling Agent &amp; AI Chatbot Developer for Business Automation</x:v>
      </x:c>
      <x:c r="J99" s="23" t="str">
        <x:v>Требуется единая система из телефонного AI-агента и веб-чатбота для ответов, квалификации лидов, записи на встречи и передачи диалога человеку. В объем входят CRM, календарь, база знаний, история разговоров, аналитика и production-развертывание.</x:v>
      </x:c>
      <x:c r="K99" s="23" t="str">
        <x:v>Сильное совпадение по LLM, Node.js/API, RAG, автоматизации, CRM и обработке клиентских обращений; значительная часть решения может переиспользоваться в Kora.</x:v>
      </x:c>
      <x:c r="L99" s="23" t="str">
        <x:v>Voice и телефония требуют специализированного опыта с Twilio, Retell или аналогами; проект большой, 30+ часов в неделю, у клиента пока нет расходов и рейтинга.</x:v>
      </x:c>
      <x:c r="M99" s="23" t="str">
        <x:v>Hourly: $25.00 - $40.00</x:v>
      </x:c>
      <x:c r="N99" s="23" t="str">
        <x:v>verified</x:v>
      </x:c>
      <x:c r="O99" s="26" t="str">
        <x:v>20 to 50</x:v>
      </x:c>
      <x:c r="P99" s="23" t="str">
        <x:v>5 days ago</x:v>
      </x:c>
      <x:c r="Q99" s="23" t="str">
        <x:v>Pakistan</x:v>
      </x:c>
      <x:c r="R99" s="23" t="str">
        <x:v>https://www.upwork.com/jobs/span-class-highlight-span-Calling-span-class-highlight-Agent-span-amp-span-class-highlight-span-Chatbot-Developer-for-Business-span-class-highlight-Automation-span_~022080259272497837564/?referrer_url_path=/nx/search/jobs/</x:v>
      </x:c>
      <x:c r="S99" s="23" t="str">
        <x:v>Голосовые агенты</x:v>
      </x:c>
      <x:c r="T99" s="23" t="str">
        <x:v>search:AI agent automation:page6</x:v>
      </x:c>
    </x:row>
    <x:row r="100" ht="48" customHeight="1">
      <x:c r="A100" s="26" t="n">
        <x:v>96</x:v>
      </x:c>
      <x:c r="B100" s="23" t="str">
        <x:v>Upwork</x:v>
      </x:c>
      <x:c r="C100" s="23" t="str">
        <x:v>~022081279807421760253</x:v>
      </x:c>
      <x:c r="D100" s="23" t="str">
        <x:v>Автоматизация процессов и интеграции</x:v>
      </x:c>
      <x:c r="E100" s="29" t="n">
        <x:v>65</x:v>
      </x:c>
      <x:c r="F100" s="23" t="str">
        <x:v>60-69% - частичное</x:v>
      </x:c>
      <x:c r="G100" s="23" t="str">
        <x:v>captured - recheck</x:v>
      </x:c>
      <x:c r="H100" s="23" t="str">
        <x:v>hourly</x:v>
      </x:c>
      <x:c r="I100" s="23" t="str">
        <x:v>Ai Claude automation expert</x:v>
      </x:c>
      <x:c r="J100" s="23" t="str">
        <x:v>Турагентству нужна автоматизация, которая проходит по нескольким порталам и сообщает, где найдено лучшее ценовое предложение по запросу.</x:v>
      </x:c>
      <x:c r="K100" s="23" t="str">
        <x:v>Есть полезное совпадение по Claude, web automation, сравнению структурированных результатов и автоматизации повторяющегося бизнес-процесса.</x:v>
      </x:c>
      <x:c r="L100" s="23" t="str">
        <x:v>Описание слишком короткое: не указаны порталы, способы доступа, правила сравнения и формат результата; клиент без подтвержденной оплаты и расходов, 20-50 предложений.</x:v>
      </x:c>
      <x:c r="M100" s="23" t="str">
        <x:v>Hourly</x:v>
      </x:c>
      <x:c r="N100" s="23" t="str">
        <x:v>unverified</x:v>
      </x:c>
      <x:c r="O100" s="26" t="str">
        <x:v>20 to 50</x:v>
      </x:c>
      <x:c r="P100" s="23" t="str">
        <x:v>2 days ago</x:v>
      </x:c>
      <x:c r="Q100" s="23" t="str">
        <x:v>India</x:v>
      </x:c>
      <x:c r="R100" s="23" t="str">
        <x:v>https://www.upwork.com/jobs/span-class-highlight-span-Claude-span-class-highlight-automation-span-expert_~022081279807421760253/?referrer_url_path=/nx/search/jobs/</x:v>
      </x:c>
      <x:c r="S100" s="23" t="str">
        <x:v>Автоматизация процессов и интеграции</x:v>
      </x:c>
      <x:c r="T100" s="23" t="str">
        <x:v>search:AI agent automation:page7</x:v>
      </x:c>
    </x:row>
    <x:row r="101" ht="48" customHeight="1">
      <x:c r="A101" s="26" t="n">
        <x:v>97</x:v>
      </x:c>
      <x:c r="B101" s="23" t="str">
        <x:v>Upwork</x:v>
      </x:c>
      <x:c r="C101" s="23" t="str">
        <x:v>~022070684855642596842</x:v>
      </x:c>
      <x:c r="D101" s="23" t="str">
        <x:v>AI-агенты и оркестрация</x:v>
      </x:c>
      <x:c r="E101" s="29" t="n">
        <x:v>65</x:v>
      </x:c>
      <x:c r="F101" s="23" t="str">
        <x:v>60-69% - частичное</x:v>
      </x:c>
      <x:c r="G101" s="23" t="str">
        <x:v>captured - recheck</x:v>
      </x:c>
      <x:c r="H101" s="23" t="str">
        <x:v>hourly</x:v>
      </x:c>
      <x:c r="I101" s="23" t="str">
        <x:v>AI Developer – Agents &amp; Automation (Long-Term, Rev Share)</x:v>
      </x:c>
      <x:c r="J101" s="23" t="str">
        <x:v>AI-агентство ищет долгосрочного разработчика для создания кастомных агентов, многошаговых LLM-пайплайнов, интеграций и развертываний для клиентов. Оплата заявлена как доля 10-30% от выручки по клиенту.</x:v>
      </x:c>
      <x:c r="K101" s="23" t="str">
        <x:v>Тематика хорошо совпадает с опытом в агентах, API и автоматизациях, а разнообразие клиентских задач может дать продуктовые наблюдения для Kora.</x:v>
      </x:c>
      <x:c r="L101" s="23" t="str">
        <x:v>Нет гарантированной оплаты: модель полностью основана на revenue share; у клиента нет истории расходов и рейтинга, а заявленный потенциальный доход ничем не подтвержден.</x:v>
      </x:c>
      <x:c r="M101" s="23" t="str">
        <x:v>Hourly: $19.00 - $40.00</x:v>
      </x:c>
      <x:c r="N101" s="23" t="str">
        <x:v>verified</x:v>
      </x:c>
      <x:c r="O101" s="26" t="str">
        <x:v>20 to 50</x:v>
      </x:c>
      <x:c r="P101" s="23" t="str">
        <x:v>last month</x:v>
      </x:c>
      <x:c r="Q101" s="23" t="str">
        <x:v>United States</x:v>
      </x:c>
      <x:c r="R101" s="23" t="str">
        <x:v>https://www.upwork.com/jobs/span-class-highlight-span-Developer-span-class-highlight-Agents-span-amp-span-class-highlight-Automation-span-Long-Term-Rev-Share_~022070684855642596842/?referrer_url_path=/nx/search/jobs/</x:v>
      </x:c>
      <x:c r="S101" s="23" t="str">
        <x:v>AI-агенты и оркестрация</x:v>
      </x:c>
      <x:c r="T101" s="23" t="str">
        <x:v>search:AI agent automation:page7</x:v>
      </x:c>
    </x:row>
    <x:row r="102" ht="48" customHeight="1">
      <x:c r="A102" s="26" t="n">
        <x:v>98</x:v>
      </x:c>
      <x:c r="B102" s="23" t="str">
        <x:v>Upwork</x:v>
      </x:c>
      <x:c r="C102" s="23" t="str">
        <x:v>~022075872587089215205</x:v>
      </x:c>
      <x:c r="D102" s="23" t="str">
        <x:v>Контент и медиа</x:v>
      </x:c>
      <x:c r="E102" s="29" t="n">
        <x:v>65</x:v>
      </x:c>
      <x:c r="F102" s="23" t="str">
        <x:v>60-69% - частичное</x:v>
      </x:c>
      <x:c r="G102" s="23" t="str">
        <x:v>captured - recheck</x:v>
      </x:c>
      <x:c r="H102" s="23" t="str">
        <x:v>hourly</x:v>
      </x:c>
      <x:c r="I102" s="23" t="str">
        <x:v>Fractional AI Automation Partner</x:v>
      </x:c>
      <x:c r="J102" s="23" t="str">
        <x:v>Бренд хочет партнера, который построит и будет эксплуатировать портфель автономных агентов для контента, копирайтинга, дизайна, Shopify, SEO и email-маркетинга. Результаты планируют оценивать по росту клиентской базы, выручки, удержания и бренда.</x:v>
      </x:c>
      <x:c r="K102" s="23" t="str">
        <x:v>Подход с набором специализированных агентов, надежной эксплуатацией и human-in-the-loop близок продуктовой архитектуре Kora и требует навыков LLM-интеграции.</x:v>
      </x:c>
      <x:c r="L102" s="23" t="str">
        <x:v>Роль охватывает слишком много маркетинговых дисциплин и требует личной ответственности за бизнес-метрики, ежедневного взаимодействия и 30+ часов в неделю. Клиент без подтвержденной оплаты и истории; требуется знание Shopify, Klaviyo, SEO и дизайна.</x:v>
      </x:c>
      <x:c r="M102" s="23" t="str">
        <x:v>Hourly: $50.00 - $250.00</x:v>
      </x:c>
      <x:c r="N102" s="23" t="str">
        <x:v>unverified</x:v>
      </x:c>
      <x:c r="O102" s="26" t="str">
        <x:v>20 to 50</x:v>
      </x:c>
      <x:c r="P102" s="23" t="str">
        <x:v>3 weeks ago</x:v>
      </x:c>
      <x:c r="Q102" s="23" t="str">
        <x:v>Denmark</x:v>
      </x:c>
      <x:c r="R102" s="23" t="str">
        <x:v>https://www.upwork.com/jobs/Fractional-span-class-highlight-span-span-class-highlight-Automation-span-Partner_~022075872587089215205/?referrer_url_path=/nx/search/jobs/</x:v>
      </x:c>
      <x:c r="S102" s="23" t="str">
        <x:v>Контент и маркетинговая автоматизация</x:v>
      </x:c>
      <x:c r="T102" s="23" t="str">
        <x:v>search:AI agent automation:page3</x:v>
      </x:c>
    </x:row>
    <x:row r="103" ht="48" customHeight="1">
      <x:c r="A103" s="26" t="n">
        <x:v>99</x:v>
      </x:c>
      <x:c r="B103" s="23" t="str">
        <x:v>Upwork</x:v>
      </x:c>
      <x:c r="C103" s="23" t="str">
        <x:v>~022082111941222607272</x:v>
      </x:c>
      <x:c r="D103" s="23" t="str">
        <x:v>RAG и базы знаний</x:v>
      </x:c>
      <x:c r="E103" s="29" t="n">
        <x:v>65</x:v>
      </x:c>
      <x:c r="F103" s="23" t="str">
        <x:v>60-69% - частичное</x:v>
      </x:c>
      <x:c r="G103" s="23" t="str">
        <x:v>captured - recheck</x:v>
      </x:c>
      <x:c r="H103" s="23" t="str">
        <x:v>hourly</x:v>
      </x:c>
      <x:c r="I103" s="23" t="str">
        <x:v>Lead Applied AI Engineer – Agentic RAG &amp; Geospatial Copilot</x:v>
      </x:c>
      <x:c r="J103" s="23" t="str">
        <x:v>Для GIS-платформы SmartView нужен контекстный copilot, который объединяет геоданные, сенсоры, изображения, историю, стандарты и внешние системы, ведет диалог и формирует проверяемые рекомендации для дорожной инфраструктуры. Scope включает agentic RAG, PostGIS, multimodal context, human approval, evaluation, API, deployment и передачу решения команде.</x:v>
      </x:c>
      <x:c r="K103" s="23" t="str">
        <x:v>RAG, tool calling, structured outputs, human review, API и observability совпадают с сильными сторонами AI-agent разработки. Требования очень подробно описаны, а клиент подтвержден с рейтингом 4,5.</x:v>
      </x:c>
      <x:c r="L103" s="23" t="str">
        <x:v>GIS, PostGIS, сенсорные данные, дорожная безопасность и multimodal decision support создают существенный предметный и технический gap. Проект рассчитан более чем на шесть месяцев и 30+ часов, требует NDA и полной передачи IP; ставка в карточке не видна.</x:v>
      </x:c>
      <x:c r="M103" s="23" t="str">
        <x:v>Hourly</x:v>
      </x:c>
      <x:c r="N103" s="23" t="str">
        <x:v>verified</x:v>
      </x:c>
      <x:c r="O103" s="26" t="str">
        <x:v>20 to 50</x:v>
      </x:c>
      <x:c r="P103" s="23" t="str">
        <x:v>2 hours ago</x:v>
      </x:c>
      <x:c r="Q103" s="23" t="str">
        <x:v>Netherlands</x:v>
      </x:c>
      <x:c r="R103" s="23" t="str">
        <x:v>https://www.upwork.com/jobs/Lead-Applied-Engineer-Agentic-RAG-Geospatial-Copilot_~022082111941222607272/?referrer_url_path=find_work_home</x:v>
      </x:c>
      <x:c r="S103" s="23" t="str">
        <x:v>RAG и базы знаний</x:v>
      </x:c>
      <x:c r="T103" s="23" t="str">
        <x:v>best_matches</x:v>
      </x:c>
    </x:row>
    <x:row r="104" ht="48" customHeight="1">
      <x:c r="A104" s="26" t="n">
        <x:v>100</x:v>
      </x:c>
      <x:c r="B104" s="23" t="str">
        <x:v>FL.ru</x:v>
      </x:c>
      <x:c r="C104" s="23" t="str">
        <x:v>5511540</x:v>
      </x:c>
      <x:c r="D104" s="23" t="str">
        <x:v>Автоматизация процессов и интеграции</x:v>
      </x:c>
      <x:c r="E104" s="29" t="n">
        <x:v>65</x:v>
      </x:c>
      <x:c r="F104" s="23" t="str">
        <x:v>60-69% - частичное</x:v>
      </x:c>
      <x:c r="G104" s="23" t="str">
        <x:v>assigned</x:v>
      </x:c>
      <x:c r="H104" s="23" t="str">
        <x:v>project</x:v>
      </x:c>
      <x:c r="I104" s="23" t="str">
        <x:v>Создание бота для мониторинга канала</x:v>
      </x:c>
      <x:c r="J104" s="23" t="str">
        <x:v>Telegram-бот переносит сообщения канала в таблицу для анализа. Исполнитель уже определен.</x:v>
      </x:c>
      <x:c r="K104" s="23" t="str">
        <x:v>Совпадает с сильными сторонами Давида в автоматизации, API и контролируемой обработке данных. Нужен узкий acceptance test.</x:v>
      </x:c>
      <x:c r="L104" s="23" t="str">
        <x:v>Исполнитель уже определен: строка только для исторического спроса</x:v>
      </x:c>
      <x:c r="M104" s="23" t="str">
        <x:v>по договоренности</x:v>
      </x:c>
      <x:c r="N104" s="23" t="str">
        <x:v>не показано</x:v>
      </x:c>
      <x:c r="O104" s="26" t="n">
        <x:v>0</x:v>
      </x:c>
      <x:c r="P104" s="23" t="str">
        <x:v>не сохранено</x:v>
      </x:c>
      <x:c r="Q104" s="23" t="str">
        <x:v>RU</x:v>
      </x:c>
      <x:c r="R104" s="23" t="str">
        <x:v>https://www.fl.ru/projects/5511540/sozdanie-bota-dlya-monitoringa-kanala-.html</x:v>
      </x:c>
      <x:c r="S104" s="23" t="str">
        <x:v>Автоматизация / разработка</x:v>
      </x:c>
      <x:c r="T104" s="23" t="str">
        <x:v>FL.ru AI category</x:v>
      </x:c>
    </x:row>
    <x:row r="105" ht="48" customHeight="1">
      <x:c r="A105" s="26" t="n">
        <x:v>101</x:v>
      </x:c>
      <x:c r="B105" s="23" t="str">
        <x:v>FL.ru</x:v>
      </x:c>
      <x:c r="C105" s="23" t="str">
        <x:v>5513878</x:v>
      </x:c>
      <x:c r="D105" s="23" t="str">
        <x:v>Вакансии и роли</x:v>
      </x:c>
      <x:c r="E105" s="29" t="n">
        <x:v>60</x:v>
      </x:c>
      <x:c r="F105" s="23" t="str">
        <x:v>60-69% - частичное</x:v>
      </x:c>
      <x:c r="G105" s="23" t="str">
        <x:v>open</x:v>
      </x:c>
      <x:c r="H105" s="23" t="str">
        <x:v>vacancy</x:v>
      </x:c>
      <x:c r="I105" s="23" t="str">
        <x:v>AI Product Builder</x:v>
      </x:c>
      <x:c r="J105" s="23" t="str">
        <x:v>Создание детских цифровых продуктов, связанных с физическими товарами бренда.</x:v>
      </x:c>
      <x:c r="K105" s="23" t="str">
        <x:v>Метч относится к навыкам Давида, но это вакансия или найм, а не доказательство покупки Kora.</x:v>
      </x:c>
      <x:c r="L105" s="23" t="str">
        <x:v>Это вакансия, а не buyer project demand для Kora. 31 ответов: высокая конкуренция</x:v>
      </x:c>
      <x:c r="M105" s="23" t="str">
        <x:v>по результатам собеседования</x:v>
      </x:c>
      <x:c r="N105" s="23" t="str">
        <x:v>не показано</x:v>
      </x:c>
      <x:c r="O105" s="26" t="n">
        <x:v>31</x:v>
      </x:c>
      <x:c r="P105" s="23" t="str">
        <x:v>не сохранено</x:v>
      </x:c>
      <x:c r="Q105" s="23" t="str">
        <x:v>RU</x:v>
      </x:c>
      <x:c r="R105" s="23" t="str">
        <x:v>https://www.fl.ru/projects/5513878/ai-product-builder---ai-razrabotchik-sozdanie-detskih-tsifrovyih-produktov.html</x:v>
      </x:c>
      <x:c r="S105" s="23" t="str">
        <x:v>Вакансия / роль</x:v>
      </x:c>
      <x:c r="T105" s="23" t="str">
        <x:v>FL.ru AI category</x:v>
      </x:c>
    </x:row>
    <x:row r="106" ht="48" customHeight="1">
      <x:c r="A106" s="26" t="n">
        <x:v>102</x:v>
      </x:c>
      <x:c r="B106" s="23" t="str">
        <x:v>FL.ru</x:v>
      </x:c>
      <x:c r="C106" s="23" t="str">
        <x:v>5514452</x:v>
      </x:c>
      <x:c r="D106" s="23" t="str">
        <x:v>Инфраструктура и Claude</x:v>
      </x:c>
      <x:c r="E106" s="29" t="n">
        <x:v>60</x:v>
      </x:c>
      <x:c r="F106" s="23" t="str">
        <x:v>60-69% - частичное</x:v>
      </x:c>
      <x:c r="G106" s="23" t="str">
        <x:v>open</x:v>
      </x:c>
      <x:c r="H106" s="23" t="str">
        <x:v>project</x:v>
      </x:c>
      <x:c r="I106" s="23" t="str">
        <x:v>Консультация по Claude</x:v>
      </x:c>
      <x:c r="J106" s="23" t="str">
        <x:v>Обучить заказчика настройке Claude для текстов, презентаций и его рабочих задач.</x:v>
      </x:c>
      <x:c r="K106" s="23" t="str">
        <x:v>Полезный Claude-onboarding и cash bridge, но слабая переносимость в Kora и отсутствие интеграционного scope.</x:v>
      </x:c>
      <x:c r="L106" s="23" t="str">
        <x:v>11 ответов</x:v>
      </x:c>
      <x:c r="M106" s="23" t="str">
        <x:v>по договоренности</x:v>
      </x:c>
      <x:c r="N106" s="23" t="str">
        <x:v>не показано</x:v>
      </x:c>
      <x:c r="O106" s="26" t="n">
        <x:v>11</x:v>
      </x:c>
      <x:c r="P106" s="23" t="str">
        <x:v>не сохранено</x:v>
      </x:c>
      <x:c r="Q106" s="23" t="str">
        <x:v>RU</x:v>
      </x:c>
      <x:c r="R106" s="23" t="str">
        <x:v>https://www.fl.ru/projects/5514452/konsultatsiya-po-claude.html</x:v>
      </x:c>
      <x:c r="S106" s="23" t="str">
        <x:v>Claude / консультация</x:v>
      </x:c>
      <x:c r="T106" s="23" t="str">
        <x:v>FL.ru AI category</x:v>
      </x:c>
    </x:row>
    <x:row r="107" ht="48" customHeight="1">
      <x:c r="A107" s="26" t="n">
        <x:v>103</x:v>
      </x:c>
      <x:c r="B107" s="23" t="str">
        <x:v>FL.ru</x:v>
      </x:c>
      <x:c r="C107" s="23" t="str">
        <x:v>5515468</x:v>
      </x:c>
      <x:c r="D107" s="23" t="str">
        <x:v>AI-продукты и full-stack</x:v>
      </x:c>
      <x:c r="E107" s="29" t="n">
        <x:v>60</x:v>
      </x:c>
      <x:c r="F107" s="23" t="str">
        <x:v>60-69% - частичное</x:v>
      </x:c>
      <x:c r="G107" s="23" t="str">
        <x:v>open</x:v>
      </x:c>
      <x:c r="H107" s="23" t="str">
        <x:v>project</x:v>
      </x:c>
      <x:c r="I107" s="23" t="str">
        <x:v>Приложение управления ветеринарным бизнесом</x:v>
      </x:c>
      <x:c r="J107" s="23" t="str">
        <x:v>Облачное AI-приложение для мобильного ветеринарного сервиса в Москве и Санкт-Петербурге.</x:v>
      </x:c>
      <x:c r="K107" s="23" t="str">
        <x:v>Частичное или слабое совпадение. Использовать только как дополнительный сигнал, не как приоритетный лид.</x:v>
      </x:c>
      <x:c r="L107" s="23" t="str">
        <x:v>40 ответов: высокая конкуренция</x:v>
      </x:c>
      <x:c r="M107" s="23" t="str">
        <x:v>по договоренности</x:v>
      </x:c>
      <x:c r="N107" s="23" t="str">
        <x:v>не показано</x:v>
      </x:c>
      <x:c r="O107" s="26" t="n">
        <x:v>40</x:v>
      </x:c>
      <x:c r="P107" s="23" t="str">
        <x:v>не сохранено</x:v>
      </x:c>
      <x:c r="Q107" s="23" t="str">
        <x:v>RU</x:v>
      </x:c>
      <x:c r="R107" s="23" t="str">
        <x:v>https://www.fl.ru/projects/5515468/razrabotchik-dlya-mnogomodulnogo-prilojeniya-upravleniya-veterinarnyim-biznesom.html</x:v>
      </x:c>
      <x:c r="S107" s="23" t="str">
        <x:v>AI-продукт / full-stack</x:v>
      </x:c>
      <x:c r="T107" s="23" t="str">
        <x:v>FL.ru AI category</x:v>
      </x:c>
    </x:row>
    <x:row r="108" ht="48" customHeight="1">
      <x:c r="A108" s="26" t="n">
        <x:v>104</x:v>
      </x:c>
      <x:c r="B108" s="23" t="str">
        <x:v>Upwork</x:v>
      </x:c>
      <x:c r="C108" s="23" t="str">
        <x:v>~022081439024363157677</x:v>
      </x:c>
      <x:c r="D108" s="23" t="str">
        <x:v>Автоматизация процессов и интеграции</x:v>
      </x:c>
      <x:c r="E108" s="29" t="n">
        <x:v>60</x:v>
      </x:c>
      <x:c r="F108" s="23" t="str">
        <x:v>60-69% - частичное</x:v>
      </x:c>
      <x:c r="G108" s="23" t="str">
        <x:v>captured - recheck</x:v>
      </x:c>
      <x:c r="H108" s="23" t="str">
        <x:v>hourly</x:v>
      </x:c>
      <x:c r="I108" s="23" t="str">
        <x:v>AI Automation Developer Needed (Workflows + AI Agents) - UK &amp; US only</x:v>
      </x:c>
      <x:c r="J108" s="23" t="str">
        <x:v>Ищут разработчика на 3-6 месяцев и более 30 часов в неделю для AI-workflow и агентов на Zapier, Make или n8n с production API-интеграциями. Просят показать реальные прошлые автоматизации и отдельно предупреждают, что AI-сгенерированные отклики отклонят.</x:v>
      </x:c>
      <x:c r="K108" s="23" t="str">
        <x:v>AI-агенты, API и workflow automation технически хорошо совпадают с Давидом, ставка $40-60 в час выглядит рабочей. Однако карточка почти не раскрывает конкретные процессы, а длительная высокая загрузка дает меньше прямой пользы для развития Kora.</x:v>
      </x:c>
      <x:c r="L108" s="23" t="str">
        <x:v>В заголовке явно указано ограничение UK &amp; US only, поэтому при текущей локации Давида заявка, вероятно, не пройдет. У клиента нет расходов и рейтинга, уже 20-50 предложений, и принимаются только подтверждаемые реальные кейсы.</x:v>
      </x:c>
      <x:c r="M108" s="23" t="str">
        <x:v>Hourly: $40.00 - $60.00</x:v>
      </x:c>
      <x:c r="N108" s="23" t="str">
        <x:v>verified</x:v>
      </x:c>
      <x:c r="O108" s="26" t="str">
        <x:v>20 to 50</x:v>
      </x:c>
      <x:c r="P108" s="23" t="str">
        <x:v>yesterday</x:v>
      </x:c>
      <x:c r="Q108" s="23" t="str">
        <x:v>United Kingdom</x:v>
      </x:c>
      <x:c r="R108" s="23" t="str">
        <x:v>https://www.upwork.com/jobs/span-class-highlight-span-span-class-highlight-Automation-span-Developer-Needed-Workflows-span-class-highlight-span-span-class-highlight-Agents-span-amp-only_~022081439024363157677/?referrer_url_path=/nx/search/jobs/</x:v>
      </x:c>
      <x:c r="S108" s="23" t="str">
        <x:v>Автоматизация процессов и интеграции</x:v>
      </x:c>
      <x:c r="T108" s="23" t="str">
        <x:v>search:AI agent automation:page2</x:v>
      </x:c>
    </x:row>
    <x:row r="109" ht="48" customHeight="1">
      <x:c r="A109" s="26" t="n">
        <x:v>105</x:v>
      </x:c>
      <x:c r="B109" s="23" t="str">
        <x:v>Upwork</x:v>
      </x:c>
      <x:c r="C109" s="23" t="str">
        <x:v>~022082137366436439221</x:v>
      </x:c>
      <x:c r="D109" s="23" t="str">
        <x:v>Автоматизация процессов и интеграции</x:v>
      </x:c>
      <x:c r="E109" s="29" t="n">
        <x:v>60</x:v>
      </x:c>
      <x:c r="F109" s="23" t="str">
        <x:v>60-69% - частичное</x:v>
      </x:c>
      <x:c r="G109" s="23" t="str">
        <x:v>captured - recheck</x:v>
      </x:c>
      <x:c r="H109" s="23" t="str">
        <x:v>не указано</x:v>
      </x:c>
      <x:c r="I109" s="23" t="str">
        <x:v>AI Automation Developer: Build AI Agent Chatbot Alerts via n8n, make.com and claude ai</x:v>
      </x:c>
      <x:c r="J109" s="23" t="str">
        <x:v>Нужно быстро настроить внутреннее уведомление через n8n, Zapier или Make.com с использованием Claude. Описание дополнительно перечисляет более широкие навыки AI-агентов, CRM, lead generation и sales-автоматизации, но не раскрывает сам триггер и формат уведомления.</x:v>
      </x:c>
      <x:c r="K109" s="23" t="str">
        <x:v>Небольшой workflow на Claude и automation-платформе технически близок Давиду и может быть быстро реализован после уточнения деталей. Клиент подтвержден, имеет рейтинг 5.0 и $2K+ расходов.</x:v>
      </x:c>
      <x:c r="L109" s="23" t="str">
        <x:v>Критерии приемки и конкретные интеграции не описаны, а фиксированный бюджет $10 несоразмерен требованиям к экспертному уровню. Уже 20-50 предложений; практический опыт с выбранной no-code платформой не подтвержден.</x:v>
      </x:c>
      <x:c r="M109" s="23" t="str">
        <x:v>$10.00</x:v>
      </x:c>
      <x:c r="N109" s="23" t="str">
        <x:v>verified</x:v>
      </x:c>
      <x:c r="O109" s="26" t="str">
        <x:v>20 to 50</x:v>
      </x:c>
      <x:c r="P109" s="23" t="str">
        <x:v>1 hour ago</x:v>
      </x:c>
      <x:c r="Q109" s="23" t="str">
        <x:v>United States</x:v>
      </x:c>
      <x:c r="R109" s="23" t="str">
        <x:v>https://www.upwork.com/jobs/span-class-highlight-span-span-class-highlight-Automation-span-Developer-Build-span-class-highlight-span-span-class-highlight-Agent-span-Chatbot-Alerts-via-n8n-make-com-and-claude-span-class-highlight-span_~022082137366436439221/?referrer_url_path=/nx/search/jobs/</x:v>
      </x:c>
      <x:c r="S109" s="23" t="str">
        <x:v>Автоматизация процессов и интеграции</x:v>
      </x:c>
      <x:c r="T109" s="23" t="str">
        <x:v>search:AI agent automation:page1</x:v>
      </x:c>
    </x:row>
    <x:row r="110" ht="48" customHeight="1">
      <x:c r="A110" s="26" t="n">
        <x:v>106</x:v>
      </x:c>
      <x:c r="B110" s="23" t="str">
        <x:v>Upwork</x:v>
      </x:c>
      <x:c r="C110" s="23" t="str">
        <x:v>~022075920337694781992</x:v>
      </x:c>
      <x:c r="D110" s="23" t="str">
        <x:v>Чат-боты, поддержка и CRM</x:v>
      </x:c>
      <x:c r="E110" s="29" t="n">
        <x:v>60</x:v>
      </x:c>
      <x:c r="F110" s="23" t="str">
        <x:v>60-69% - частичное</x:v>
      </x:c>
      <x:c r="G110" s="23" t="str">
        <x:v>captured - recheck</x:v>
      </x:c>
      <x:c r="H110" s="23" t="str">
        <x:v>не указано</x:v>
      </x:c>
      <x:c r="I110" s="23" t="str">
        <x:v>AI Automation Expert</x:v>
      </x:c>
      <x:c r="J110" s="23" t="str">
        <x:v>Нужно создать полностью работающего AI-агента клиентской поддержки для интернет-магазина. Каналы, база знаний, интеграции, правила эскалации и критерии качества в карточке не указаны.</x:v>
      </x:c>
      <x:c r="K110" s="23" t="str">
        <x:v>AI-поддержка потенциально хорошо ложится на агентную платформу и может использовать Kora для диалогов, инструментов и эскалации. Бюджет $1500, подтвержденная оплата, рейтинг 5.0 и более $2000 расходов выглядят неплохо.</x:v>
      </x:c>
      <x:c r="L110" s="23" t="str">
        <x:v>Описание состоит из одной фразы, поэтому невозможно оценить фактический объем и соответствие стеку. Нужно сначала выяснить каналы, ecommerce-платформу, языки, RAG, действия агента и human handoff; откликов 50+.</x:v>
      </x:c>
      <x:c r="M110" s="23" t="str">
        <x:v>$1,500.00</x:v>
      </x:c>
      <x:c r="N110" s="23" t="str">
        <x:v>verified</x:v>
      </x:c>
      <x:c r="O110" s="26" t="str">
        <x:v>50+</x:v>
      </x:c>
      <x:c r="P110" s="23" t="str">
        <x:v>3 weeks ago</x:v>
      </x:c>
      <x:c r="Q110" s="23" t="str">
        <x:v>DNK</x:v>
      </x:c>
      <x:c r="R110" s="23" t="str">
        <x:v>https://www.upwork.com/jobs/span-class-highlight-span-span-class-highlight-Automation-span-Expert_~022075920337694781992/?referrer_url_path=/nx/search/jobs/</x:v>
      </x:c>
      <x:c r="S110" s="23" t="str">
        <x:v>Чат-боты, поддержка и CRM</x:v>
      </x:c>
      <x:c r="T110" s="23" t="str">
        <x:v>search:AI agent automation:page5</x:v>
      </x:c>
    </x:row>
    <x:row r="111" ht="48" customHeight="1">
      <x:c r="A111" s="26" t="n">
        <x:v>107</x:v>
      </x:c>
      <x:c r="B111" s="23" t="str">
        <x:v>Upwork</x:v>
      </x:c>
      <x:c r="C111" s="23" t="str">
        <x:v>~022080323727208301309</x:v>
      </x:c>
      <x:c r="D111" s="23" t="str">
        <x:v>Контент и медиа</x:v>
      </x:c>
      <x:c r="E111" s="29" t="n">
        <x:v>60</x:v>
      </x:c>
      <x:c r="F111" s="23" t="str">
        <x:v>60-69% - частичное</x:v>
      </x:c>
      <x:c r="G111" s="23" t="str">
        <x:v>captured - recheck</x:v>
      </x:c>
      <x:c r="H111" s="23" t="str">
        <x:v>hourly</x:v>
      </x:c>
      <x:c r="I111" s="23" t="str">
        <x:v>AI Marketing Automation Expert for Multi-Channel Social Media</x:v>
      </x:c>
      <x:c r="J111" s="23" t="str">
        <x:v>Британскому интернет-магазину с примерно 6000 товарами нужен маркетинговый агент, который генерирует и адаптирует посты, изображения, подписи и хэштеги, планирует публикации и кампании по нескольким соцсетям. Система также должна анализировать результаты и улучшать будущий контент.</x:v>
      </x:c>
      <x:c r="K111" s="23" t="str">
        <x:v>Здесь есть агентная автоматизация, интеграции с платформами, планирование и аналитика, поэтому базовый технический fit присутствует. Однако задача в основном про массовое создание и дистрибуцию маркетингового контента, что слабее связано с основным операционным контуром Kora.</x:v>
      </x:c>
      <x:c r="L111" s="23" t="str">
        <x:v>Не указана ставка и не описаны конкретные платформы, критерии приемки и источники аналитики. У клиента $0 расходов, нет рейтинга и уже 50+ откликов.</x:v>
      </x:c>
      <x:c r="M111" s="23" t="str">
        <x:v>Hourly</x:v>
      </x:c>
      <x:c r="N111" s="23" t="str">
        <x:v>verified</x:v>
      </x:c>
      <x:c r="O111" s="26" t="str">
        <x:v>50+</x:v>
      </x:c>
      <x:c r="P111" s="23" t="str">
        <x:v>5 days ago</x:v>
      </x:c>
      <x:c r="Q111" s="23" t="str">
        <x:v>United Kingdom</x:v>
      </x:c>
      <x:c r="R111" s="23" t="str">
        <x:v>https://www.upwork.com/jobs/span-class-highlight-span-Marketing-span-class-highlight-Automation-span-Expert-for-Multi-Channel-Social-Media_~022080323727208301309/?referrer_url_path=/nx/search/jobs/</x:v>
      </x:c>
      <x:c r="S111" s="23" t="str">
        <x:v>Контент и маркетинговая автоматизация</x:v>
      </x:c>
      <x:c r="T111" s="23" t="str">
        <x:v>search:AI agent automation:page4</x:v>
      </x:c>
    </x:row>
    <x:row r="112" ht="48" customHeight="1">
      <x:c r="A112" s="26" t="n">
        <x:v>108</x:v>
      </x:c>
      <x:c r="B112" s="23" t="str">
        <x:v>Upwork</x:v>
      </x:c>
      <x:c r="C112" s="23" t="str">
        <x:v>~022081759788785210780</x:v>
      </x:c>
      <x:c r="D112" s="23" t="str">
        <x:v>Голос и мультимедиа</x:v>
      </x:c>
      <x:c r="E112" s="29" t="n">
        <x:v>60</x:v>
      </x:c>
      <x:c r="F112" s="23" t="str">
        <x:v>60-69% - частичное</x:v>
      </x:c>
      <x:c r="G112" s="23" t="str">
        <x:v>captured - recheck</x:v>
      </x:c>
      <x:c r="H112" s="23" t="str">
        <x:v>не указано</x:v>
      </x:c>
      <x:c r="I112" s="23" t="str">
        <x:v>Ecommerce Automation Expert (n8n/make + Retell AI)</x:v>
      </x:c>
      <x:c r="J112" s="23" t="str">
        <x:v>Нужно построить входящего и исходящего voice-агента для e-commerce: отвечать на звонки, проверять статусы заказов, возвращать брошенные корзины и передавать сложные случаи человеку. Систему требуется связать с Shopify, CRM, WhatsApp и отчетностью через n8n или Make.</x:v>
      </x:c>
      <x:c r="K112" s="23" t="str">
        <x:v>Сильное совпадение по AI-автоматизации, n8n, API, CRM и многошаговым процессам с передачей человеку; значительную часть механики можно переиспользовать в Kora.</x:v>
      </x:c>
      <x:c r="L112" s="23" t="str">
        <x:v>Нужен подтвержденный опыт с Retell или Vapi и голосовой инфраструктурой. Бюджет $150 несоразмерен полному объему, платежи не подтверждены, история клиента отсутствует.</x:v>
      </x:c>
      <x:c r="M112" s="23" t="str">
        <x:v>$150.00</x:v>
      </x:c>
      <x:c r="N112" s="23" t="str">
        <x:v>unverified</x:v>
      </x:c>
      <x:c r="O112" s="26" t="str">
        <x:v>15 to 20</x:v>
      </x:c>
      <x:c r="P112" s="23" t="str">
        <x:v>yesterday</x:v>
      </x:c>
      <x:c r="Q112" s="23" t="str">
        <x:v>India</x:v>
      </x:c>
      <x:c r="R112" s="23" t="str">
        <x:v>https://www.upwork.com/jobs/Ecommerce-span-class-highlight-Automation-span-Expert-n8n-make-Retell-span-class-highlight-span_~022081759788785210780/?referrer_url_path=/nx/search/jobs/</x:v>
      </x:c>
      <x:c r="S112" s="23" t="str">
        <x:v>Голосовые агенты</x:v>
      </x:c>
      <x:c r="T112" s="23" t="str">
        <x:v>search:AI agent automation:page2</x:v>
      </x:c>
    </x:row>
    <x:row r="113" ht="48" customHeight="1">
      <x:c r="A113" s="26" t="n">
        <x:v>109</x:v>
      </x:c>
      <x:c r="B113" s="23" t="str">
        <x:v>Upwork</x:v>
      </x:c>
      <x:c r="C113" s="23" t="str">
        <x:v>~022082113612637017500</x:v>
      </x:c>
      <x:c r="D113" s="23" t="str">
        <x:v>RAG и базы знаний</x:v>
      </x:c>
      <x:c r="E113" s="29" t="n">
        <x:v>60</x:v>
      </x:c>
      <x:c r="F113" s="23" t="str">
        <x:v>60-69% - частичное</x:v>
      </x:c>
      <x:c r="G113" s="23" t="str">
        <x:v>captured - recheck</x:v>
      </x:c>
      <x:c r="H113" s="23" t="str">
        <x:v>hourly</x:v>
      </x:c>
      <x:c r="I113" s="23" t="str">
        <x:v>Software Engineer for Web App</x:v>
      </x:c>
      <x:c r="J113" s="23" t="str">
        <x:v>Нужно провести аудит почти готовой локальной RAG-системы на Windows с Ollama, векторной базой и NVIDIA GPU. Требуется проверить полноту индекса, embeddings, chunking и качество поиска, настроить автоматическое добавление документов и оставить документацию.</x:v>
      </x:c>
      <x:c r="K113" s="23" t="str">
        <x:v>RAG, векторный поиск, ingestion и проверка качества retrieval пересекаются с AI-инженерией и могут дать полезные наработки для Kora. Задача подробно описана и ограничена аудитом с доведением существующей системы до рабочего состояния.</x:v>
      </x:c>
      <x:c r="L113" s="23" t="str">
        <x:v>Требуется узкая практическая экспертиза в локальных LLM, Ollama, Windows, NVIDIA и конкретных vector DB; подтвержденного опыта Давида в этом стеке нет. Клиент без подтвержденной оплаты и истории расходов, конкуренция 20-50 предложений.</x:v>
      </x:c>
      <x:c r="M113" s="23" t="str">
        <x:v>Hourly: $25-$50</x:v>
      </x:c>
      <x:c r="N113" s="23" t="str">
        <x:v>unverified</x:v>
      </x:c>
      <x:c r="O113" s="26" t="str">
        <x:v>20 to 50</x:v>
      </x:c>
      <x:c r="P113" s="23" t="str">
        <x:v>2 hours ago</x:v>
      </x:c>
      <x:c r="Q113" s="23" t="str">
        <x:v>United States</x:v>
      </x:c>
      <x:c r="R113" s="23" t="str">
        <x:v>https://www.upwork.com/jobs/Software-Engineer-for-Web-App_~022082113612637017500/?referrer_url_path=find_work_home</x:v>
      </x:c>
      <x:c r="S113" s="23" t="str">
        <x:v>RAG и базы знаний</x:v>
      </x:c>
      <x:c r="T113" s="23" t="str">
        <x:v>best_matches</x:v>
      </x:c>
    </x:row>
    <x:row r="114" ht="48" customHeight="1">
      <x:c r="A114" s="26" t="n">
        <x:v>110</x:v>
      </x:c>
      <x:c r="B114" s="23" t="str">
        <x:v>FL.ru</x:v>
      </x:c>
      <x:c r="C114" s="23" t="str">
        <x:v>5513097</x:v>
      </x:c>
      <x:c r="D114" s="23" t="str">
        <x:v>Вакансии и роли</x:v>
      </x:c>
      <x:c r="E114" s="29" t="n">
        <x:v>55</x:v>
      </x:c>
      <x:c r="F114" s="23" t="str">
        <x:v>0-59% - низкое / off-core</x:v>
      </x:c>
      <x:c r="G114" s="23" t="str">
        <x:v>open</x:v>
      </x:c>
      <x:c r="H114" s="23" t="str">
        <x:v>vacancy</x:v>
      </x:c>
      <x:c r="I114" s="23" t="str">
        <x:v>Support-менеджер / промпт-инженер</x:v>
      </x:c>
      <x:c r="J114" s="23" t="str">
        <x:v>Работа с цифровыми сотрудниками для монетизации трафика в мессенджерах.</x:v>
      </x:c>
      <x:c r="K114" s="23" t="str">
        <x:v>Метч относится к навыкам Давида, но это вакансия или найм, а не доказательство покупки Kora.</x:v>
      </x:c>
      <x:c r="L114" s="23" t="str">
        <x:v>Это вакансия, а не buyer project demand для Kora. 32 ответов: высокая конкуренция</x:v>
      </x:c>
      <x:c r="M114" s="23" t="str">
        <x:v>60 000 ₽ - 75 000 ₽</x:v>
      </x:c>
      <x:c r="N114" s="23" t="str">
        <x:v>не показано</x:v>
      </x:c>
      <x:c r="O114" s="26" t="n">
        <x:v>32</x:v>
      </x:c>
      <x:c r="P114" s="23" t="str">
        <x:v>не сохранено</x:v>
      </x:c>
      <x:c r="Q114" s="23" t="str">
        <x:v>RU</x:v>
      </x:c>
      <x:c r="R114" s="23" t="str">
        <x:v>https://www.fl.ru/projects/5513097/support-menedjer-promt-injener.html</x:v>
      </x:c>
      <x:c r="S114" s="23" t="str">
        <x:v>Вакансия / роль</x:v>
      </x:c>
      <x:c r="T114" s="23" t="str">
        <x:v>FL.ru AI category</x:v>
      </x:c>
    </x:row>
    <x:row r="115" ht="48" customHeight="1">
      <x:c r="A115" s="26" t="n">
        <x:v>111</x:v>
      </x:c>
      <x:c r="B115" s="23" t="str">
        <x:v>FL.ru</x:v>
      </x:c>
      <x:c r="C115" s="23" t="str">
        <x:v>5514724</x:v>
      </x:c>
      <x:c r="D115" s="23" t="str">
        <x:v>Данные и computer vision</x:v>
      </x:c>
      <x:c r="E115" s="29" t="n">
        <x:v>55</x:v>
      </x:c>
      <x:c r="F115" s="23" t="str">
        <x:v>0-59% - низкое / off-core</x:v>
      </x:c>
      <x:c r="G115" s="23" t="str">
        <x:v>open</x:v>
      </x:c>
      <x:c r="H115" s="23" t="str">
        <x:v>project</x:v>
      </x:c>
      <x:c r="I115" s="23" t="str">
        <x:v>Сервис обработки видео футбольных матчей</x:v>
      </x:c>
      <x:c r="J115" s="23" t="str">
        <x:v>Видеообработка матчей и получение статистики по игрокам.</x:v>
      </x:c>
      <x:c r="K115" s="23" t="str">
        <x:v>Частичное или слабое совпадение. Использовать только как дополнительный сигнал, не как приоритетный лид.</x:v>
      </x:c>
      <x:c r="L115" s="23" t="str">
        <x:v>8 ответов</x:v>
      </x:c>
      <x:c r="M115" s="23" t="str">
        <x:v>по договоренности</x:v>
      </x:c>
      <x:c r="N115" s="23" t="str">
        <x:v>не показано</x:v>
      </x:c>
      <x:c r="O115" s="26" t="n">
        <x:v>8</x:v>
      </x:c>
      <x:c r="P115" s="23" t="str">
        <x:v>не сохранено</x:v>
      </x:c>
      <x:c r="Q115" s="23" t="str">
        <x:v>RU</x:v>
      </x:c>
      <x:c r="R115" s="23" t="str">
        <x:v>https://www.fl.ru/projects/5514724/nujen-horoshiy-prompter-dlya-sozdaniya-servisa-obrabotki-videozapisey-futbolnyih-matchey-.html</x:v>
      </x:c>
      <x:c r="S115" s="23" t="str">
        <x:v>Компьютерное зрение / данные</x:v>
      </x:c>
      <x:c r="T115" s="23" t="str">
        <x:v>FL.ru AI category</x:v>
      </x:c>
    </x:row>
    <x:row r="116" ht="48" customHeight="1">
      <x:c r="A116" s="26" t="n">
        <x:v>112</x:v>
      </x:c>
      <x:c r="B116" s="23" t="str">
        <x:v>FL.ru</x:v>
      </x:c>
      <x:c r="C116" s="23" t="str">
        <x:v>5512730</x:v>
      </x:c>
      <x:c r="D116" s="23" t="str">
        <x:v>Вакансии и роли</x:v>
      </x:c>
      <x:c r="E116" s="29" t="n">
        <x:v>55</x:v>
      </x:c>
      <x:c r="F116" s="23" t="str">
        <x:v>0-59% - низкое / off-core</x:v>
      </x:c>
      <x:c r="G116" s="23" t="str">
        <x:v>open</x:v>
      </x:c>
      <x:c r="H116" s="23" t="str">
        <x:v>vacancy</x:v>
      </x:c>
      <x:c r="I116" s="23" t="str">
        <x:v>Технический сооснователь в B2B-стартап</x:v>
      </x:c>
      <x:c r="J116" s="23" t="str">
        <x:v>CTO для продукта, который пытается заменить часть работы B2B-продавцов генеративным AI.</x:v>
      </x:c>
      <x:c r="K116" s="23" t="str">
        <x:v>Метч относится к навыкам Давида, но это вакансия или найм, а не доказательство покупки Kora.</x:v>
      </x:c>
      <x:c r="L116" s="23" t="str">
        <x:v>Это вакансия, а не buyer project demand для Kora. 17 ответов</x:v>
      </x:c>
      <x:c r="M116" s="23" t="str">
        <x:v>по результатам собеседования</x:v>
      </x:c>
      <x:c r="N116" s="23" t="str">
        <x:v>не показано</x:v>
      </x:c>
      <x:c r="O116" s="26" t="n">
        <x:v>17</x:v>
      </x:c>
      <x:c r="P116" s="23" t="str">
        <x:v>не сохранено</x:v>
      </x:c>
      <x:c r="Q116" s="23" t="str">
        <x:v>RU</x:v>
      </x:c>
      <x:c r="R116" s="23" t="str">
        <x:v>https://www.fl.ru/projects/5512730/ischu-tehnicheskogo-soosnovatelya-cto-v-b2b-startap.html</x:v>
      </x:c>
      <x:c r="S116" s="23" t="str">
        <x:v>Вакансия / роль</x:v>
      </x:c>
      <x:c r="T116" s="23" t="str">
        <x:v>FL.ru AI category</x:v>
      </x:c>
    </x:row>
    <x:row r="117" ht="48" customHeight="1">
      <x:c r="A117" s="26" t="n">
        <x:v>113</x:v>
      </x:c>
      <x:c r="B117" s="23" t="str">
        <x:v>Upwork</x:v>
      </x:c>
      <x:c r="C117" s="23" t="str">
        <x:v>~022082029221197911452</x:v>
      </x:c>
      <x:c r="D117" s="23" t="str">
        <x:v>Чат-боты, поддержка и CRM</x:v>
      </x:c>
      <x:c r="E117" s="29" t="n">
        <x:v>55</x:v>
      </x:c>
      <x:c r="F117" s="23" t="str">
        <x:v>0-59% - низкое / off-core</x:v>
      </x:c>
      <x:c r="G117" s="23" t="str">
        <x:v>captured - recheck</x:v>
      </x:c>
      <x:c r="H117" s="23" t="str">
        <x:v>не указано</x:v>
      </x:c>
      <x:c r="I117" s="23" t="str">
        <x:v>AI Agent Developer | Automation &amp; Workflow Specialist</x:v>
      </x:c>
      <x:c r="J117" s="23" t="str">
        <x:v>Нужно улучшить customer support с помощью AI-агентов и автоматизированных workflow. Указаны OpenAI API, API-интеграции и n8n, но конкретные каналы, текущая система и требуемые сценарии поддержки не описаны.</x:v>
      </x:c>
      <x:c r="K117" s="23" t="str">
        <x:v>Технологии и область customer support пересекаются с Kora и опытом Давида в AI-агентах и API. Однако карточка дает только общее направление, поэтому оценить реальную сложность и продуктовую переиспользуемость трудно.</x:v>
      </x:c>
      <x:c r="L117" s="23" t="str">
        <x:v>Фиксированный бюджет $10 при сроке 1-3 месяца выглядит несогласованно. У клиента нет расходов и рейтинга, scope размыт, а конкуренция составляет 20-50 предложений.</x:v>
      </x:c>
      <x:c r="M117" s="23" t="str">
        <x:v>$10.00</x:v>
      </x:c>
      <x:c r="N117" s="23" t="str">
        <x:v>verified</x:v>
      </x:c>
      <x:c r="O117" s="26" t="str">
        <x:v>20 to 50</x:v>
      </x:c>
      <x:c r="P117" s="23" t="str">
        <x:v>8 hours ago</x:v>
      </x:c>
      <x:c r="Q117" s="23" t="str">
        <x:v>Saudi Arabia</x:v>
      </x:c>
      <x:c r="R117" s="23" t="str">
        <x:v>https://www.upwork.com/jobs/span-class-highlight-span-span-class-highlight-Agent-span-Developer-span-class-highlight-Automation-span-amp-Workflow-Specialist_~022082029221197911452/?referrer_url_path=/nx/search/jobs/</x:v>
      </x:c>
      <x:c r="S117" s="23" t="str">
        <x:v>Чат-боты, поддержка и CRM</x:v>
      </x:c>
      <x:c r="T117" s="23" t="str">
        <x:v>search:AI agent automation:page1</x:v>
      </x:c>
    </x:row>
    <x:row r="118" ht="48" customHeight="1">
      <x:c r="A118" s="26" t="n">
        <x:v>114</x:v>
      </x:c>
      <x:c r="B118" s="23" t="str">
        <x:v>Upwork</x:v>
      </x:c>
      <x:c r="C118" s="23" t="str">
        <x:v>~022079383193573406470</x:v>
      </x:c>
      <x:c r="D118" s="23" t="str">
        <x:v>Чат-боты, поддержка и CRM</x:v>
      </x:c>
      <x:c r="E118" s="29" t="n">
        <x:v>55</x:v>
      </x:c>
      <x:c r="F118" s="23" t="str">
        <x:v>0-59% - низкое / off-core</x:v>
      </x:c>
      <x:c r="G118" s="23" t="str">
        <x:v>captured - recheck</x:v>
      </x:c>
      <x:c r="H118" s="23" t="str">
        <x:v>hourly</x:v>
      </x:c>
      <x:c r="I118" s="23" t="str">
        <x:v>AI Agent Developer for Nurse Business Automation</x:v>
      </x:c>
      <x:c r="J118" s="23" t="str">
        <x:v>Для медицинского бизнеса нужен AI-агент, помогающий с расписанием, общением с пациентами и анализом данных. Цель сформулирована как снижение операционной нагрузки и улучшение обслуживания.</x:v>
      </x:c>
      <x:c r="K118" s="23" t="str">
        <x:v>Коммуникации, расписание и автоматизация относятся к продуктовой зоне Kora, однако описание не задает конкретных каналов, интеграций или критериев приемки.</x:v>
      </x:c>
      <x:c r="L118" s="23" t="str">
        <x:v>Scope слишком общий для надежной оценки, а работа с пациентами и медицинскими данными повышает требования к безопасности и соответствию нормам. Платежи не подтверждены, история отсутствует, конкуренция превышает 50 заявок.</x:v>
      </x:c>
      <x:c r="M118" s="23" t="str">
        <x:v>Hourly: $20.00 - $40.00</x:v>
      </x:c>
      <x:c r="N118" s="23" t="str">
        <x:v>unverified</x:v>
      </x:c>
      <x:c r="O118" s="26" t="str">
        <x:v>50+</x:v>
      </x:c>
      <x:c r="P118" s="23" t="str">
        <x:v>last week</x:v>
      </x:c>
      <x:c r="Q118" s="23" t="str">
        <x:v>United States</x:v>
      </x:c>
      <x:c r="R118" s="23" t="str">
        <x:v>https://www.upwork.com/jobs/span-class-highlight-span-span-class-highlight-Agent-span-Developer-for-Nurse-Business-span-class-highlight-Automation-span_~022079383193573406470/?referrer_url_path=/nx/search/jobs/</x:v>
      </x:c>
      <x:c r="S118" s="23" t="str">
        <x:v>Чат-боты, поддержка и CRM</x:v>
      </x:c>
      <x:c r="T118" s="23" t="str">
        <x:v>search:AI agent automation:page3</x:v>
      </x:c>
    </x:row>
    <x:row r="119" ht="48" customHeight="1">
      <x:c r="A119" s="26" t="n">
        <x:v>115</x:v>
      </x:c>
      <x:c r="B119" s="23" t="str">
        <x:v>Upwork</x:v>
      </x:c>
      <x:c r="C119" s="23" t="str">
        <x:v>~022081899401786284023</x:v>
      </x:c>
      <x:c r="D119" s="23" t="str">
        <x:v>AI-продукты и full-stack</x:v>
      </x:c>
      <x:c r="E119" s="29" t="n">
        <x:v>55</x:v>
      </x:c>
      <x:c r="F119" s="23" t="str">
        <x:v>0-59% - низкое / off-core</x:v>
      </x:c>
      <x:c r="G119" s="23" t="str">
        <x:v>captured - recheck</x:v>
      </x:c>
      <x:c r="H119" s="23" t="str">
        <x:v>hourly</x:v>
      </x:c>
      <x:c r="I119" s="23" t="str">
        <x:v>AI Engineer for Local AI Assistant</x:v>
      </x:c>
      <x:c r="J119" s="23" t="str">
        <x:v>Нужно создать локального AI-ассистента на Python с Ollama и Llama или Qwen, RAG, векторной базой, памятью, распознаванием и синтезом речи. Клиент описывает его как комплексную систему для выполнения разных задач.</x:v>
      </x:c>
      <x:c r="K119" s="23" t="str">
        <x:v>RAG, память и архитектура ассистента пересекаются с Kora, а задача достаточно конкретно перечисляет основные технологии. Ставка $30-$60 выглядит приемлемо.</x:v>
      </x:c>
      <x:c r="L119" s="23" t="str">
        <x:v>Локальные модели, Python, Ollama, оптимизация инференса и voice-часть слабее совпадают с основным Node.js и cloud-профилем. Клиент без подтвержденной оплаты и истории; карточка похожа на более подробную задачу в строке 19.</x:v>
      </x:c>
      <x:c r="M119" s="23" t="str">
        <x:v>Hourly: $30-$60</x:v>
      </x:c>
      <x:c r="N119" s="23" t="str">
        <x:v>unverified</x:v>
      </x:c>
      <x:c r="O119" s="26" t="str">
        <x:v>20 to 50</x:v>
      </x:c>
      <x:c r="P119" s="23" t="str">
        <x:v>17 hours ago</x:v>
      </x:c>
      <x:c r="Q119" s="23" t="str">
        <x:v>Algeria</x:v>
      </x:c>
      <x:c r="R119" s="23" t="str">
        <x:v>https://www.upwork.com/jobs/Engineer-for-Local-Assistant_~022081899401786284023/?referrer_url_path=find_work_home</x:v>
      </x:c>
      <x:c r="S119" s="23" t="str">
        <x:v>AI-продукты и full-stack</x:v>
      </x:c>
      <x:c r="T119" s="23" t="str">
        <x:v>best_matches</x:v>
      </x:c>
    </x:row>
    <x:row r="120" ht="48" customHeight="1">
      <x:c r="A120" s="26" t="n">
        <x:v>116</x:v>
      </x:c>
      <x:c r="B120" s="23" t="str">
        <x:v>Upwork</x:v>
      </x:c>
      <x:c r="C120" s="23" t="str">
        <x:v>~022081435229822731005</x:v>
      </x:c>
      <x:c r="D120" s="23" t="str">
        <x:v>Контент и медиа</x:v>
      </x:c>
      <x:c r="E120" s="29" t="n">
        <x:v>55</x:v>
      </x:c>
      <x:c r="F120" s="23" t="str">
        <x:v>0-59% - низкое / off-core</x:v>
      </x:c>
      <x:c r="G120" s="23" t="str">
        <x:v>captured - recheck</x:v>
      </x:c>
      <x:c r="H120" s="23" t="str">
        <x:v>hourly</x:v>
      </x:c>
      <x:c r="I120" s="23" t="str">
        <x:v>n8n, Make com, Zapier, Claude Code Expert | AI Agent, API Automation</x:v>
      </x:c>
      <x:c r="J120" s="23" t="str">
        <x:v>Нужно автоматизировать переработку большого архива путешествий в YouTube-видео и короткие ролики: обработка файлов, субтитры, монтажные варианты, очередь согласования и публикация в социальные сети. Предлагаемый стек включает n8n, Python, FFmpeg, OpenAI или Gemini и Creatomate.</x:v>
      </x:c>
      <x:c r="K120" s="23" t="str">
        <x:v>Совпадают n8n, API, LLM и проектирование workflow с ручным согласованием, но основная ценность лежит в видеопроизводстве, а не в ядре Kora.</x:v>
      </x:c>
      <x:c r="L120" s="23" t="str">
        <x:v>Нужны подтвержденные навыки FFmpeg, AI-видеопайплайнов, работы с крупными медиафайлами и API социальных платформ. Клиент без истории расходов, конкуренция превышает 50 заявок.</x:v>
      </x:c>
      <x:c r="M120" s="23" t="str">
        <x:v>Hourly</x:v>
      </x:c>
      <x:c r="N120" s="23" t="str">
        <x:v>verified</x:v>
      </x:c>
      <x:c r="O120" s="26" t="str">
        <x:v>50+</x:v>
      </x:c>
      <x:c r="P120" s="23" t="str">
        <x:v>2 days ago</x:v>
      </x:c>
      <x:c r="Q120" s="23" t="str">
        <x:v>United States</x:v>
      </x:c>
      <x:c r="R120" s="23" t="str">
        <x:v>https://www.upwork.com/jobs/n8n-Make-com-Zapier-Claude-Code-Expert-span-class-highlight-span-span-class-highlight-Agent-span-API-span-class-highlight-Automation-span_~022081435229822731005/?referrer_url_path=/nx/search/jobs/</x:v>
      </x:c>
      <x:c r="S120" s="23" t="str">
        <x:v>Контент и маркетинговая автоматизация</x:v>
      </x:c>
      <x:c r="T120" s="23" t="str">
        <x:v>search:AI agent automation:page3</x:v>
      </x:c>
    </x:row>
    <x:row r="121" ht="48" customHeight="1">
      <x:c r="A121" s="26" t="n">
        <x:v>117</x:v>
      </x:c>
      <x:c r="B121" s="23" t="str">
        <x:v>Upwork</x:v>
      </x:c>
      <x:c r="C121" s="23" t="str">
        <x:v>~022082093802059809533</x:v>
      </x:c>
      <x:c r="D121" s="23" t="str">
        <x:v>Контент и медиа</x:v>
      </x:c>
      <x:c r="E121" s="29" t="n">
        <x:v>55</x:v>
      </x:c>
      <x:c r="F121" s="23" t="str">
        <x:v>0-59% - низкое / off-core</x:v>
      </x:c>
      <x:c r="G121" s="23" t="str">
        <x:v>captured - recheck</x:v>
      </x:c>
      <x:c r="H121" s="23" t="str">
        <x:v>hourly</x:v>
      </x:c>
      <x:c r="I121" s="23" t="str">
        <x:v>Prompt Engineer</x:v>
      </x:c>
      <x:c r="J121" s="23" t="str">
        <x:v>Нужно разработать надежные многошаговые prompt-workflows для многоязычного SEO-контента со строгими ограничениями по ключевым словам, структуре, объему, фактам и форматированию. Также требуются шаблоны промптов, валидация, регрессионные тесты и контроль галлюцинаций.</x:v>
      </x:c>
      <x:c r="K121" s="23" t="str">
        <x:v>Структурированные LLM-выходы, автоматическая проверка ограничений, evaluation и regression tests хорошо совпадают с AI-инженерной частью профиля. Клиент очень надежный: подтвержденная оплата, рейтинг 5,0 и более $700K расходов.</x:v>
      </x:c>
      <x:c r="L121" s="23" t="str">
        <x:v>Основной результат связан с SEO-контентом, а не с агентами, CRM или операционными workflow Kora. Ставка не видна, загрузка 30+ часов в неделю, конкуренция 50+.</x:v>
      </x:c>
      <x:c r="M121" s="23" t="str">
        <x:v>Hourly</x:v>
      </x:c>
      <x:c r="N121" s="23" t="str">
        <x:v>verified</x:v>
      </x:c>
      <x:c r="O121" s="26" t="str">
        <x:v>50+</x:v>
      </x:c>
      <x:c r="P121" s="23" t="str">
        <x:v>4 hours ago</x:v>
      </x:c>
      <x:c r="Q121" s="23" t="str">
        <x:v>Ukraine</x:v>
      </x:c>
      <x:c r="R121" s="23" t="str">
        <x:v>https://www.upwork.com/jobs/Prompt-Engineer_~022082093802059809533/?referrer_url_path=find_work_home</x:v>
      </x:c>
      <x:c r="S121" s="23" t="str">
        <x:v>Контент и маркетинговая автоматизация</x:v>
      </x:c>
      <x:c r="T121" s="23" t="str">
        <x:v>best_matches</x:v>
      </x:c>
    </x:row>
    <x:row r="122" ht="48" customHeight="1">
      <x:c r="A122" s="26" t="n">
        <x:v>118</x:v>
      </x:c>
      <x:c r="B122" s="23" t="str">
        <x:v>FL.ru</x:v>
      </x:c>
      <x:c r="C122" s="23" t="str">
        <x:v>5514780</x:v>
      </x:c>
      <x:c r="D122" s="23" t="str">
        <x:v>AI-продукты и full-stack</x:v>
      </x:c>
      <x:c r="E122" s="29" t="n">
        <x:v>50</x:v>
      </x:c>
      <x:c r="F122" s="23" t="str">
        <x:v>0-59% - низкое / off-core</x:v>
      </x:c>
      <x:c r="G122" s="23" t="str">
        <x:v>open</x:v>
      </x:c>
      <x:c r="H122" s="23" t="str">
        <x:v>project</x:v>
      </x:c>
      <x:c r="I122" s="23" t="str">
        <x:v>Локальная Qwen-система в Unreal Engine 5</x:v>
      </x:c>
      <x:c r="J122" s="23" t="str">
        <x:v>Интерактивный локальный 3D-аватар на Qwen и Unreal Engine для мощной рабочей станции.</x:v>
      </x:c>
      <x:c r="K122" s="23" t="str">
        <x:v>Частичное или слабое совпадение. Использовать только как дополнительный сигнал, не как приоритетный лид.</x:v>
      </x:c>
      <x:c r="L122" s="23" t="str">
        <x:v>5 ответов</x:v>
      </x:c>
      <x:c r="M122" s="23" t="str">
        <x:v>по договоренности</x:v>
      </x:c>
      <x:c r="N122" s="23" t="str">
        <x:v>не показано</x:v>
      </x:c>
      <x:c r="O122" s="26" t="n">
        <x:v>5</x:v>
      </x:c>
      <x:c r="P122" s="23" t="str">
        <x:v>не сохранено</x:v>
      </x:c>
      <x:c r="Q122" s="23" t="str">
        <x:v>RU</x:v>
      </x:c>
      <x:c r="R122" s="23" t="str">
        <x:v>https://www.fl.ru/projects/5514780/lokalnaya-ii-sistemaqwen35b-pod-klyuch-v-unreal-engine-5.html</x:v>
      </x:c>
      <x:c r="S122" s="23" t="str">
        <x:v>AI-продукт / full-stack</x:v>
      </x:c>
      <x:c r="T122" s="23" t="str">
        <x:v>FL.ru AI category</x:v>
      </x:c>
    </x:row>
    <x:row r="123" ht="48" customHeight="1">
      <x:c r="A123" s="26" t="n">
        <x:v>119</x:v>
      </x:c>
      <x:c r="B123" s="23" t="str">
        <x:v>FL.ru</x:v>
      </x:c>
      <x:c r="C123" s="23" t="str">
        <x:v>5515220</x:v>
      </x:c>
      <x:c r="D123" s="23" t="str">
        <x:v>Автоматизация процессов и интеграции</x:v>
      </x:c>
      <x:c r="E123" s="29" t="n">
        <x:v>50</x:v>
      </x:c>
      <x:c r="F123" s="23" t="str">
        <x:v>0-59% - низкое / off-core</x:v>
      </x:c>
      <x:c r="G123" s="23" t="str">
        <x:v>open</x:v>
      </x:c>
      <x:c r="H123" s="23" t="str">
        <x:v>project</x:v>
      </x:c>
      <x:c r="I123" s="23" t="str">
        <x:v>Тегирование файлов в macOS</x:v>
      </x:c>
      <x:c r="J123" s="23" t="str">
        <x:v>Автоматически присвоить Finder-теги 3500 музыкальным трекам на внешнем диске.</x:v>
      </x:c>
      <x:c r="K123" s="23" t="str">
        <x:v>Совпадает с сильными сторонами Давида в автоматизации, API и контролируемой обработке данных. Нужен узкий acceptance test.</x:v>
      </x:c>
      <x:c r="L123" s="23" t="str">
        <x:v>8 ответов</x:v>
      </x:c>
      <x:c r="M123" s="23" t="str">
        <x:v>по договоренности</x:v>
      </x:c>
      <x:c r="N123" s="23" t="str">
        <x:v>не показано</x:v>
      </x:c>
      <x:c r="O123" s="26" t="n">
        <x:v>8</x:v>
      </x:c>
      <x:c r="P123" s="23" t="str">
        <x:v>не сохранено</x:v>
      </x:c>
      <x:c r="Q123" s="23" t="str">
        <x:v>RU</x:v>
      </x:c>
      <x:c r="R123" s="23" t="str">
        <x:v>https://www.fl.ru/projects/5515220/neobhodim-kod-dlya-tegirovaniya-faylov-v-sisteme-mak-os.html</x:v>
      </x:c>
      <x:c r="S123" s="23" t="str">
        <x:v>Автоматизация / разработка</x:v>
      </x:c>
      <x:c r="T123" s="23" t="str">
        <x:v>FL.ru AI category</x:v>
      </x:c>
    </x:row>
    <x:row r="124" ht="48" customHeight="1">
      <x:c r="A124" s="26" t="n">
        <x:v>120</x:v>
      </x:c>
      <x:c r="B124" s="23" t="str">
        <x:v>Upwork</x:v>
      </x:c>
      <x:c r="C124" s="23" t="str">
        <x:v>~022081902015307135149</x:v>
      </x:c>
      <x:c r="D124" s="23" t="str">
        <x:v>AI-продукты и full-stack</x:v>
      </x:c>
      <x:c r="E124" s="29" t="n">
        <x:v>50</x:v>
      </x:c>
      <x:c r="F124" s="23" t="str">
        <x:v>0-59% - низкое / off-core</x:v>
      </x:c>
      <x:c r="G124" s="23" t="str">
        <x:v>captured - recheck</x:v>
      </x:c>
      <x:c r="H124" s="23" t="str">
        <x:v>hourly</x:v>
      </x:c>
      <x:c r="I124" s="23" t="str">
        <x:v>Looking for an AI Engineer to build a local AI assistant using Python,</x:v>
      </x:c>
      <x:c r="J124" s="23" t="str">
        <x:v>Нужно с нуля построить коммерческий локальный AI-ассистент для Windows с Ollama, RAG, долгосрочной памятью, плагинами, голосом, изображениями, кодогенерацией, мультиязычностью и multi-agent архитектурой. Требуются Python, локальные модели, векторные базы, desktop UI и оптимизация инференса.</x:v>
      </x:c>
      <x:c r="K124" s="23" t="str">
        <x:v>Архитектура ассистента, RAG, память, плагины и агентные возможности частично пересекаются с Kora. Описание подробно перечисляет желаемые компоненты и долгосрочное направление продукта.</x:v>
      </x:c>
      <x:c r="L124" s="23" t="str">
        <x:v>Scope чрезмерно широк для одного проекта: Windows desktop, локальный inference, voice, vision, арабские языки и полный коммерческий продукт. Клиент без подтвержденной оплаты и истории, ставка $15-$50; карточка, вероятно, описывает ту же потребность, что и строка 11.</x:v>
      </x:c>
      <x:c r="M124" s="23" t="str">
        <x:v>Hourly: $15-$50</x:v>
      </x:c>
      <x:c r="N124" s="23" t="str">
        <x:v>unverified</x:v>
      </x:c>
      <x:c r="O124" s="26" t="str">
        <x:v>20 to 50</x:v>
      </x:c>
      <x:c r="P124" s="23" t="str">
        <x:v>16 hours ago</x:v>
      </x:c>
      <x:c r="Q124" s="23" t="str">
        <x:v>Algeria</x:v>
      </x:c>
      <x:c r="R124" s="23" t="str">
        <x:v>https://www.upwork.com/jobs/Looking-for-Engineer-build-local-assistant-using-Python_~022081902015307135149/?referrer_url_path=find_work_home</x:v>
      </x:c>
      <x:c r="S124" s="23" t="str">
        <x:v>AI-продукты и full-stack</x:v>
      </x:c>
      <x:c r="T124" s="23" t="str">
        <x:v>best_matches</x:v>
      </x:c>
    </x:row>
    <x:row r="125" ht="48" customHeight="1">
      <x:c r="A125" s="26" t="n">
        <x:v>121</x:v>
      </x:c>
      <x:c r="B125" s="23" t="str">
        <x:v>Upwork</x:v>
      </x:c>
      <x:c r="C125" s="23" t="str">
        <x:v>~022082072467596907932</x:v>
      </x:c>
      <x:c r="D125" s="23" t="str">
        <x:v>Общие, слабые или off-core</x:v>
      </x:c>
      <x:c r="E125" s="29" t="n">
        <x:v>50</x:v>
      </x:c>
      <x:c r="F125" s="23" t="str">
        <x:v>0-59% - низкое / off-core</x:v>
      </x:c>
      <x:c r="G125" s="23" t="str">
        <x:v>captured - recheck</x:v>
      </x:c>
      <x:c r="H125" s="23" t="str">
        <x:v>hourly</x:v>
      </x:c>
      <x:c r="I125" s="23" t="str">
        <x:v>Senior Developer for AI Consulting</x:v>
      </x:c>
      <x:c r="J125" s="23" t="str">
        <x:v>AI-консалтинговая компания ищет старшего разработчика для долгосрочной работы над крупными AI-агентами, приложениями и CRM. Ожидаются самостоятельность, решение сложных задач и возможное техническое лидерство.</x:v>
      </x:c>
      <x:c r="K125" s="23" t="str">
        <x:v>AI-агенты, приложения и CRM в целом совпадают с профилем Давида и могут дать релевантные проекты. Конкуренция 20-50 предложений ниже, чем у многих соседних карточек.</x:v>
      </x:c>
      <x:c r="L125" s="23" t="str">
        <x:v>Нет конкретного проекта, стека, deliverables или критериев приемки. Клиент без подтвержденной оплаты и истории, ставка $10-$25, а занятость более шести месяцев и 30+ часов в неделю.</x:v>
      </x:c>
      <x:c r="M125" s="23" t="str">
        <x:v>Hourly: $10-$25</x:v>
      </x:c>
      <x:c r="N125" s="23" t="str">
        <x:v>unverified</x:v>
      </x:c>
      <x:c r="O125" s="26" t="str">
        <x:v>20 to 50</x:v>
      </x:c>
      <x:c r="P125" s="23" t="str">
        <x:v>5 hours ago</x:v>
      </x:c>
      <x:c r="Q125" s="23" t="str">
        <x:v>South Africa</x:v>
      </x:c>
      <x:c r="R125" s="23" t="str">
        <x:v>https://www.upwork.com/jobs/Senior-Developer-for-Consulting_~022082072467596907932/?referrer_url_path=find_work_home</x:v>
      </x:c>
      <x:c r="S125" s="23" t="str">
        <x:v>Общие, слабые или off-core задачи</x:v>
      </x:c>
      <x:c r="T125" s="23" t="str">
        <x:v>best_matches</x:v>
      </x:c>
    </x:row>
    <x:row r="126" ht="48" customHeight="1">
      <x:c r="A126" s="26" t="n">
        <x:v>122</x:v>
      </x:c>
      <x:c r="B126" s="23" t="str">
        <x:v>FL.ru</x:v>
      </x:c>
      <x:c r="C126" s="23" t="str">
        <x:v>5507597</x:v>
      </x:c>
      <x:c r="D126" s="23" t="str">
        <x:v>Человеческие операции</x:v>
      </x:c>
      <x:c r="E126" s="29" t="n">
        <x:v>45</x:v>
      </x:c>
      <x:c r="F126" s="23" t="str">
        <x:v>0-59% - низкое / off-core</x:v>
      </x:c>
      <x:c r="G126" s="23" t="str">
        <x:v>open</x:v>
      </x:c>
      <x:c r="H126" s="23" t="str">
        <x:v>project</x:v>
      </x:c>
      <x:c r="I126" s="23" t="str">
        <x:v>Анализ чата по вайб-кодингу</x:v>
      </x:c>
      <x:c r="J126" s="23" t="str">
        <x:v>Человеку нужно анализировать чаты и координировать процесс. Это не покупка AI-системы.</x:v>
      </x:c>
      <x:c r="K126" s="23" t="str">
        <x:v>Частичное или слабое совпадение. Использовать только как дополнительный сигнал, не как приоритетный лид.</x:v>
      </x:c>
      <x:c r="L126" s="23" t="str">
        <x:v>10 ответов</x:v>
      </x:c>
      <x:c r="M126" s="23" t="str">
        <x:v>по договоренности</x:v>
      </x:c>
      <x:c r="N126" s="23" t="str">
        <x:v>не показано</x:v>
      </x:c>
      <x:c r="O126" s="26" t="n">
        <x:v>10</x:v>
      </x:c>
      <x:c r="P126" s="23" t="str">
        <x:v>не сохранено</x:v>
      </x:c>
      <x:c r="Q126" s="23" t="str">
        <x:v>RU</x:v>
      </x:c>
      <x:c r="R126" s="23" t="str">
        <x:v>https://www.fl.ru/projects/5507597/analiz-chata-po-vayb-kodingu-.html</x:v>
      </x:c>
      <x:c r="S126" s="23" t="str">
        <x:v>Человеческие операции</x:v>
      </x:c>
      <x:c r="T126" s="23" t="str">
        <x:v>FL.ru AI category</x:v>
      </x:c>
    </x:row>
    <x:row r="127" ht="48" customHeight="1">
      <x:c r="A127" s="26" t="n">
        <x:v>123</x:v>
      </x:c>
      <x:c r="B127" s="23" t="str">
        <x:v>Upwork</x:v>
      </x:c>
      <x:c r="C127" s="23" t="str">
        <x:v>~022071435310528311405</x:v>
      </x:c>
      <x:c r="D127" s="23" t="str">
        <x:v>Голос и мультимедиа</x:v>
      </x:c>
      <x:c r="E127" s="29" t="n">
        <x:v>45</x:v>
      </x:c>
      <x:c r="F127" s="23" t="str">
        <x:v>0-59% - низкое / off-core</x:v>
      </x:c>
      <x:c r="G127" s="23" t="str">
        <x:v>captured - recheck</x:v>
      </x:c>
      <x:c r="H127" s="23" t="str">
        <x:v>не указано</x:v>
      </x:c>
      <x:c r="I127" s="23" t="str">
        <x:v>AI Automation Builder for Voice Agent</x:v>
      </x:c>
      <x:c r="J127" s="23" t="str">
        <x:v>Для сервисного бизнеса требуется создать голосового агента и воронку лидов, которые автоматизируют общение с клиентами и повышают вовлеченность. Точные каналы, интеграции и критерии результата не раскрыты.</x:v>
      </x:c>
      <x:c r="K127" s="23" t="str">
        <x:v>Voice-агент и lead pipeline потенциально хорошо сочетаются с агентной автоматизацией, CRM и повторно используемыми компонентами Kora.</x:v>
      </x:c>
      <x:c r="L127" s="23" t="str">
        <x:v>Описание слишком краткое для оценки сложности и solo feasibility, а маркетинговая часть не определена. Нужен подтвержденный voice-опыт; платежи не подтверждены, история клиента отсутствует, более 50 заявок.</x:v>
      </x:c>
      <x:c r="M127" s="23" t="str">
        <x:v>$600.00</x:v>
      </x:c>
      <x:c r="N127" s="23" t="str">
        <x:v>unverified</x:v>
      </x:c>
      <x:c r="O127" s="26" t="str">
        <x:v>50+</x:v>
      </x:c>
      <x:c r="P127" s="23" t="str">
        <x:v>4 weeks ago</x:v>
      </x:c>
      <x:c r="Q127" s="23" t="str">
        <x:v>United States</x:v>
      </x:c>
      <x:c r="R127" s="23" t="str">
        <x:v>https://www.upwork.com/jobs/span-class-highlight-span-span-class-highlight-Automation-span-Builder-for-Voice-span-class-highlight-Agent-span_~022071435310528311405/?referrer_url_path=/nx/search/jobs/</x:v>
      </x:c>
      <x:c r="S127" s="23" t="str">
        <x:v>Голосовые агенты</x:v>
      </x:c>
      <x:c r="T127" s="23" t="str">
        <x:v>search:AI agent automation:page3</x:v>
      </x:c>
    </x:row>
    <x:row r="128" ht="48" customHeight="1">
      <x:c r="A128" s="26" t="n">
        <x:v>124</x:v>
      </x:c>
      <x:c r="B128" s="23" t="str">
        <x:v>Upwork</x:v>
      </x:c>
      <x:c r="C128" s="23" t="str">
        <x:v>~022072933427172567475</x:v>
      </x:c>
      <x:c r="D128" s="23" t="str">
        <x:v>AI-агенты и оркестрация</x:v>
      </x:c>
      <x:c r="E128" s="29" t="n">
        <x:v>45</x:v>
      </x:c>
      <x:c r="F128" s="23" t="str">
        <x:v>0-59% - низкое / off-core</x:v>
      </x:c>
      <x:c r="G128" s="23" t="str">
        <x:v>captured - recheck</x:v>
      </x:c>
      <x:c r="H128" s="23" t="str">
        <x:v>hourly</x:v>
      </x:c>
      <x:c r="I128" s="23" t="str">
        <x:v>Build an AI Agent</x:v>
      </x:c>
      <x:c r="J128" s="23" t="str">
        <x:v>Клиент ищет инженера для создания нескольких AI-агентов и workflow на Make.com, OpenAI и различных API.</x:v>
      </x:c>
      <x:c r="K128" s="23" t="str">
        <x:v>Инструменты и общий тип работ совпадают с опытом в агентах, LLM и API-интеграциях.</x:v>
      </x:c>
      <x:c r="L128" s="23" t="str">
        <x:v>Описание почти не содержит scope, deliverables и бизнес-задачи, а перечисленные навыки частично не соответствуют тексту; клиент без подтвержденной оплаты и расходов.</x:v>
      </x:c>
      <x:c r="M128" s="23" t="str">
        <x:v>Hourly</x:v>
      </x:c>
      <x:c r="N128" s="23" t="str">
        <x:v>unverified</x:v>
      </x:c>
      <x:c r="O128" s="26" t="str">
        <x:v>20 to 50</x:v>
      </x:c>
      <x:c r="P128" s="23" t="str">
        <x:v>4 weeks ago</x:v>
      </x:c>
      <x:c r="Q128" s="23" t="str">
        <x:v>Philippines</x:v>
      </x:c>
      <x:c r="R128" s="23" t="str">
        <x:v>https://www.upwork.com/jobs/Build-span-class-highlight-span-span-class-highlight-Agent-span_~022072933427172567475/?referrer_url_path=/nx/search/jobs/</x:v>
      </x:c>
      <x:c r="S128" s="23" t="str">
        <x:v>AI-агенты и оркестрация</x:v>
      </x:c>
      <x:c r="T128" s="23" t="str">
        <x:v>search:AI agent automation:page8</x:v>
      </x:c>
    </x:row>
    <x:row r="129" ht="48" customHeight="1">
      <x:c r="A129" s="26" t="n">
        <x:v>125</x:v>
      </x:c>
      <x:c r="B129" s="23" t="str">
        <x:v>Upwork</x:v>
      </x:c>
      <x:c r="C129" s="23" t="str">
        <x:v>~022075998811531044499</x:v>
      </x:c>
      <x:c r="D129" s="23" t="str">
        <x:v>Автоматизация процессов и интеграции</x:v>
      </x:c>
      <x:c r="E129" s="29" t="n">
        <x:v>45</x:v>
      </x:c>
      <x:c r="F129" s="23" t="str">
        <x:v>0-59% - низкое / off-core</x:v>
      </x:c>
      <x:c r="G129" s="23" t="str">
        <x:v>captured - recheck</x:v>
      </x:c>
      <x:c r="H129" s="23" t="str">
        <x:v>hourly</x:v>
      </x:c>
      <x:c r="I129" s="23" t="str">
        <x:v>Workflow, AI Automation &amp; BI Specialist- Vibe Coding/Claude/Agents or Other System For Watch Brand</x:v>
      </x:c>
      <x:c r="J129" s="23" t="str">
        <x:v>По заголовку и навыкам бренд часов ищет специалиста по workflow, BI и AI-автоматизации с Claude или агентами. Содержательное описание задачи в собранной карточке отсутствует.</x:v>
      </x:c>
      <x:c r="K129" s="23" t="str">
        <x:v>Заявленная тематика пересекается с Claude, агентами и автоматизацией, а клиент имеет рейтинг 5.0 и более $70K расходов.</x:v>
      </x:c>
      <x:c r="L129" s="23" t="str">
        <x:v>Нельзя оценить реальный scope или deliverables из-за отсутствия описания; карточка помечена как дубль и уже имеет 50+ предложений.</x:v>
      </x:c>
      <x:c r="M129" s="23" t="str">
        <x:v>Hourly</x:v>
      </x:c>
      <x:c r="N129" s="23" t="str">
        <x:v>verified</x:v>
      </x:c>
      <x:c r="O129" s="26" t="str">
        <x:v>50+</x:v>
      </x:c>
      <x:c r="P129" s="23" t="str">
        <x:v>3 weeks ago</x:v>
      </x:c>
      <x:c r="Q129" s="23" t="str">
        <x:v>United Kingdom</x:v>
      </x:c>
      <x:c r="R129" s="23" t="str">
        <x:v>https://www.upwork.com/jobs/Workflow-span-class-highlight-span-span-class-highlight-Automation-span-amp-Specialist-Vibe-Coding-Claude-span-class-highlight-Agents-span-Other-System-For-Watch-Brand_~022075998811531044499/?referrer_url_path=/nx/search/jobs/</x:v>
      </x:c>
      <x:c r="S129" s="23" t="str">
        <x:v>Автоматизация процессов и интеграции</x:v>
      </x:c>
      <x:c r="T129" s="23" t="str">
        <x:v>search:AI agent automation:page7</x:v>
      </x:c>
    </x:row>
    <x:row r="130" ht="48" customHeight="1">
      <x:c r="A130" s="26" t="n">
        <x:v>126</x:v>
      </x:c>
      <x:c r="B130" s="23" t="str">
        <x:v>FL.ru</x:v>
      </x:c>
      <x:c r="C130" s="23" t="str">
        <x:v>5509060</x:v>
      </x:c>
      <x:c r="D130" s="23" t="str">
        <x:v>Контент и медиа</x:v>
      </x:c>
      <x:c r="E130" s="29" t="n">
        <x:v>45</x:v>
      </x:c>
      <x:c r="F130" s="23" t="str">
        <x:v>0-59% - низкое / off-core</x:v>
      </x:c>
      <x:c r="G130" s="23" t="str">
        <x:v>assigned</x:v>
      </x:c>
      <x:c r="H130" s="23" t="str">
        <x:v>project</x:v>
      </x:c>
      <x:c r="I130" s="23" t="str">
        <x:v>Автоматизация генерации фотографий</x:v>
      </x:c>
      <x:c r="J130" s="23" t="str">
        <x:v>Регулярная генерация фотографий товаров. Исполнитель уже определен.</x:v>
      </x:c>
      <x:c r="K130" s="23" t="str">
        <x:v>AI здесь обычно является способом производства контента. Технический метч не превращает такую задачу в спрос на Kora.</x:v>
      </x:c>
      <x:c r="L130" s="23" t="str">
        <x:v>Исполнитель уже определен: строка только для исторического спроса</x:v>
      </x:c>
      <x:c r="M130" s="23" t="str">
        <x:v>11 000</x:v>
      </x:c>
      <x:c r="N130" s="23" t="str">
        <x:v>не показано</x:v>
      </x:c>
      <x:c r="O130" s="26" t="n">
        <x:v>0</x:v>
      </x:c>
      <x:c r="P130" s="23" t="str">
        <x:v>не сохранено</x:v>
      </x:c>
      <x:c r="Q130" s="23" t="str">
        <x:v>RU</x:v>
      </x:c>
      <x:c r="R130" s="23" t="str">
        <x:v>https://www.fl.ru/projects/5509060/avtomatizatsiya-generatsii-fotografiy-.html</x:v>
      </x:c>
      <x:c r="S130" s="23" t="str">
        <x:v>Контент / media</x:v>
      </x:c>
      <x:c r="T130" s="23" t="str">
        <x:v>FL.ru AI category</x:v>
      </x:c>
    </x:row>
    <x:row r="131" ht="48" customHeight="1">
      <x:c r="A131" s="26" t="n">
        <x:v>127</x:v>
      </x:c>
      <x:c r="B131" s="23" t="str">
        <x:v>FL.ru</x:v>
      </x:c>
      <x:c r="C131" s="23" t="str">
        <x:v>5514008</x:v>
      </x:c>
      <x:c r="D131" s="23" t="str">
        <x:v>Вакансии и роли</x:v>
      </x:c>
      <x:c r="E131" s="29" t="n">
        <x:v>40</x:v>
      </x:c>
      <x:c r="F131" s="23" t="str">
        <x:v>0-59% - низкое / off-core</x:v>
      </x:c>
      <x:c r="G131" s="23" t="str">
        <x:v>open</x:v>
      </x:c>
      <x:c r="H131" s="23" t="str">
        <x:v>vacancy</x:v>
      </x:c>
      <x:c r="I131" s="23" t="str">
        <x:v>Дизайнер для Food AI</x:v>
      </x:c>
      <x:c r="J131" s="23" t="str">
        <x:v>Обработка food-фото и создание изображений для долгосрочных проектов.</x:v>
      </x:c>
      <x:c r="K131" s="23" t="str">
        <x:v>Метч относится к навыкам Давида, но это вакансия или найм, а не доказательство покупки Kora.</x:v>
      </x:c>
      <x:c r="L131" s="23" t="str">
        <x:v>Это вакансия, а не buyer project demand для Kora. 37 ответов: высокая конкуренция</x:v>
      </x:c>
      <x:c r="M131" s="23" t="str">
        <x:v>по результатам собеседования</x:v>
      </x:c>
      <x:c r="N131" s="23" t="str">
        <x:v>не показано</x:v>
      </x:c>
      <x:c r="O131" s="26" t="n">
        <x:v>37</x:v>
      </x:c>
      <x:c r="P131" s="23" t="str">
        <x:v>не сохранено</x:v>
      </x:c>
      <x:c r="Q131" s="23" t="str">
        <x:v>RU</x:v>
      </x:c>
      <x:c r="R131" s="23" t="str">
        <x:v>https://www.fl.ru/projects/5514008/ischu-dizaynera-dlya-dolgosrochnogo-proektnogo-sotrudnichestva-food-ai-ai-v-foodtech.html</x:v>
      </x:c>
      <x:c r="S131" s="23" t="str">
        <x:v>Вакансия / роль</x:v>
      </x:c>
      <x:c r="T131" s="23" t="str">
        <x:v>FL.ru AI category</x:v>
      </x:c>
    </x:row>
    <x:row r="132" ht="48" customHeight="1">
      <x:c r="A132" s="26" t="n">
        <x:v>128</x:v>
      </x:c>
      <x:c r="B132" s="23" t="str">
        <x:v>FL.ru</x:v>
      </x:c>
      <x:c r="C132" s="23" t="str">
        <x:v>5515254</x:v>
      </x:c>
      <x:c r="D132" s="23" t="str">
        <x:v>Вакансии и роли</x:v>
      </x:c>
      <x:c r="E132" s="29" t="n">
        <x:v>40</x:v>
      </x:c>
      <x:c r="F132" s="23" t="str">
        <x:v>0-59% - низкое / off-core</x:v>
      </x:c>
      <x:c r="G132" s="23" t="str">
        <x:v>open</x:v>
      </x:c>
      <x:c r="H132" s="23" t="str">
        <x:v>vacancy</x:v>
      </x:c>
      <x:c r="I132" s="23" t="str">
        <x:v>ИИ-креатор</x:v>
      </x:c>
      <x:c r="J132" s="23" t="str">
        <x:v>Изображения и короткие видео через Midjourney, Stable Diffusion, Runway и другие инструменты.</x:v>
      </x:c>
      <x:c r="K132" s="23" t="str">
        <x:v>Метч относится к навыкам Давида, но это вакансия или найм, а не доказательство покупки Kora.</x:v>
      </x:c>
      <x:c r="L132" s="23" t="str">
        <x:v>Это вакансия, а не buyer project demand для Kora. 144 ответов: высокая конкуренция</x:v>
      </x:c>
      <x:c r="M132" s="23" t="str">
        <x:v>70 000 ₽ - 160 000 ₽</x:v>
      </x:c>
      <x:c r="N132" s="23" t="str">
        <x:v>не показано</x:v>
      </x:c>
      <x:c r="O132" s="26" t="n">
        <x:v>144</x:v>
      </x:c>
      <x:c r="P132" s="23" t="str">
        <x:v>не сохранено</x:v>
      </x:c>
      <x:c r="Q132" s="23" t="str">
        <x:v>RU</x:v>
      </x:c>
      <x:c r="R132" s="23" t="str">
        <x:v>https://www.fl.ru/projects/5515254/ii-kreator---ai-kreator-.html</x:v>
      </x:c>
      <x:c r="S132" s="23" t="str">
        <x:v>Вакансия / роль</x:v>
      </x:c>
      <x:c r="T132" s="23" t="str">
        <x:v>FL.ru AI category</x:v>
      </x:c>
    </x:row>
    <x:row r="133" ht="48" customHeight="1">
      <x:c r="A133" s="26" t="n">
        <x:v>129</x:v>
      </x:c>
      <x:c r="B133" s="23" t="str">
        <x:v>Upwork</x:v>
      </x:c>
      <x:c r="C133" s="23" t="str">
        <x:v>~022081956064391936173</x:v>
      </x:c>
      <x:c r="D133" s="23" t="str">
        <x:v>Общие, слабые или off-core</x:v>
      </x:c>
      <x:c r="E133" s="29" t="n">
        <x:v>40</x:v>
      </x:c>
      <x:c r="F133" s="23" t="str">
        <x:v>0-59% - низкое / off-core</x:v>
      </x:c>
      <x:c r="G133" s="23" t="str">
        <x:v>captured - recheck</x:v>
      </x:c>
      <x:c r="H133" s="23" t="str">
        <x:v>hourly</x:v>
      </x:c>
      <x:c r="I133" s="23" t="str">
        <x:v>Build AI agents</x:v>
      </x:c>
      <x:c r="J133" s="23" t="str">
        <x:v>Клиент хочет создавать AI-агентов для бизнес-задач, но конкретные процессы, пользователи и ожидаемый результат не описаны. В навыках указаны OpenAI API, Node.js, Python, Twilio, web scraping и автоматизация.</x:v>
      </x:c>
      <x:c r="K133" s="23" t="str">
        <x:v>Перечисленные Node.js, OpenAI API, интеграции и автоматизация совпадают с техническим профилем и потенциально могут относиться к Kora. Проект указан как короткий, менее одной недели.</x:v>
      </x:c>
      <x:c r="L133" s="23" t="str">
        <x:v>Сигнал слишком слабый для уверенной оценки: нет scope, бюджета, deliverables и критериев приемки. У клиента подтвержденная оплата, но всего $99 расходов и нулевой рейтинг; уже 20-50 предложений.</x:v>
      </x:c>
      <x:c r="M133" s="23" t="str">
        <x:v>Hourly</x:v>
      </x:c>
      <x:c r="N133" s="23" t="str">
        <x:v>verified</x:v>
      </x:c>
      <x:c r="O133" s="26" t="str">
        <x:v>20 to 50</x:v>
      </x:c>
      <x:c r="P133" s="23" t="str">
        <x:v>13 hours ago</x:v>
      </x:c>
      <x:c r="Q133" s="23" t="str">
        <x:v>USA</x:v>
      </x:c>
      <x:c r="R133" s="23" t="str">
        <x:v>https://www.upwork.com/jobs/Build-agents_~022081956064391936173/?referrer_url_path=find_work_home</x:v>
      </x:c>
      <x:c r="S133" s="23" t="str">
        <x:v>Общие, слабые или off-core задачи</x:v>
      </x:c>
      <x:c r="T133" s="23" t="str">
        <x:v>best_matches</x:v>
      </x:c>
    </x:row>
    <x:row r="134" ht="48" customHeight="1">
      <x:c r="A134" s="26" t="n">
        <x:v>130</x:v>
      </x:c>
      <x:c r="B134" s="23" t="str">
        <x:v>Upwork</x:v>
      </x:c>
      <x:c r="C134" s="23" t="str">
        <x:v>~022081808794800615026</x:v>
      </x:c>
      <x:c r="D134" s="23" t="str">
        <x:v>Общие, слабые или off-core</x:v>
      </x:c>
      <x:c r="E134" s="29" t="n">
        <x:v>40</x:v>
      </x:c>
      <x:c r="F134" s="23" t="str">
        <x:v>0-59% - низкое / off-core</x:v>
      </x:c>
      <x:c r="G134" s="23" t="str">
        <x:v>captured - recheck</x:v>
      </x:c>
      <x:c r="H134" s="23" t="str">
        <x:v>hourly</x:v>
      </x:c>
      <x:c r="I134" s="23" t="str">
        <x:v>Open API Integration</x:v>
      </x:c>
      <x:c r="J134" s="23" t="str">
        <x:v>Ищут разработчика для создания и поддержки приложений с OpenAI API, REST-интеграциями, backend-разработкой и prompt engineering. Конкретное приложение и критерии результата не описаны.</x:v>
      </x:c>
      <x:c r="K134" s="23" t="str">
        <x:v>OpenAI API, REST и backend находятся в технической зоне Давида, а короткий срок делает потенциальный проект выполнимым одним специалистом. При этом карточка не показывает конкретной бизнес-боли и почти не дает продуктового переиспользования для Kora.</x:v>
      </x:c>
      <x:c r="L134" s="23" t="str">
        <x:v>Объем и конечный результат размыты. У клиента подтверждена оплата и рейтинг 5.0, но потрачено только $15; конкуренция составляет 20-50 предложений.</x:v>
      </x:c>
      <x:c r="M134" s="23" t="str">
        <x:v>Hourly: $15-$35</x:v>
      </x:c>
      <x:c r="N134" s="23" t="str">
        <x:v>verified</x:v>
      </x:c>
      <x:c r="O134" s="26" t="str">
        <x:v>20 to 50</x:v>
      </x:c>
      <x:c r="P134" s="23" t="str">
        <x:v>yesterday</x:v>
      </x:c>
      <x:c r="Q134" s="23" t="str">
        <x:v>Pakistan</x:v>
      </x:c>
      <x:c r="R134" s="23" t="str">
        <x:v>https://www.upwork.com/jobs/Open-API-Integration_~022081808794800615026/?referrer_url_path=find_work_home</x:v>
      </x:c>
      <x:c r="S134" s="23" t="str">
        <x:v>Общие, слабые или off-core задачи</x:v>
      </x:c>
      <x:c r="T134" s="23" t="str">
        <x:v>best_matches</x:v>
      </x:c>
    </x:row>
    <x:row r="135" ht="48" customHeight="1">
      <x:c r="A135" s="26" t="n">
        <x:v>131</x:v>
      </x:c>
      <x:c r="B135" s="23" t="str">
        <x:v>FL.ru</x:v>
      </x:c>
      <x:c r="C135" s="23" t="str">
        <x:v>5515226</x:v>
      </x:c>
      <x:c r="D135" s="23" t="str">
        <x:v>Контент и медиа</x:v>
      </x:c>
      <x:c r="E135" s="29" t="n">
        <x:v>35</x:v>
      </x:c>
      <x:c r="F135" s="23" t="str">
        <x:v>0-59% - низкое / off-core</x:v>
      </x:c>
      <x:c r="G135" s="23" t="str">
        <x:v>open</x:v>
      </x:c>
      <x:c r="H135" s="23" t="str">
        <x:v>project</x:v>
      </x:c>
      <x:c r="I135" s="23" t="str">
        <x:v>AI-аватар на немецком языке</x:v>
      </x:c>
      <x:c r="J135" s="23" t="str">
        <x:v>Долгосрочное создание информационных роликов через HeyGen, Synthesia или аналоги.</x:v>
      </x:c>
      <x:c r="K135" s="23" t="str">
        <x:v>AI здесь обычно является способом производства контента. Технический метч не превращает такую задачу в спрос на Kora.</x:v>
      </x:c>
      <x:c r="L135" s="23" t="str">
        <x:v>22 ответов</x:v>
      </x:c>
      <x:c r="M135" s="23" t="str">
        <x:v>по договоренности</x:v>
      </x:c>
      <x:c r="N135" s="23" t="str">
        <x:v>не показано</x:v>
      </x:c>
      <x:c r="O135" s="26" t="n">
        <x:v>22</x:v>
      </x:c>
      <x:c r="P135" s="23" t="str">
        <x:v>не сохранено</x:v>
      </x:c>
      <x:c r="Q135" s="23" t="str">
        <x:v>RU</x:v>
      </x:c>
      <x:c r="R135" s="23" t="str">
        <x:v>https://www.fl.ru/projects/5515226/trebuetsya-spetsialist-po-heygen-ili-analogam-dlya-sozdaniya-rolikov-s-ai-avatarom-na-nemetskom-yazyike.html</x:v>
      </x:c>
      <x:c r="S135" s="23" t="str">
        <x:v>Контент / media</x:v>
      </x:c>
      <x:c r="T135" s="23" t="str">
        <x:v>FL.ru AI category</x:v>
      </x:c>
    </x:row>
    <x:row r="136" ht="48" customHeight="1">
      <x:c r="A136" s="26" t="n">
        <x:v>132</x:v>
      </x:c>
      <x:c r="B136" s="23" t="str">
        <x:v>FL.ru</x:v>
      </x:c>
      <x:c r="C136" s="23" t="str">
        <x:v>5510785</x:v>
      </x:c>
      <x:c r="D136" s="23" t="str">
        <x:v>Вакансии и роли</x:v>
      </x:c>
      <x:c r="E136" s="29" t="n">
        <x:v>35</x:v>
      </x:c>
      <x:c r="F136" s="23" t="str">
        <x:v>0-59% - низкое / off-core</x:v>
      </x:c>
      <x:c r="G136" s="23" t="str">
        <x:v>open</x:v>
      </x:c>
      <x:c r="H136" s="23" t="str">
        <x:v>vacancy</x:v>
      </x:c>
      <x:c r="I136" s="23" t="str">
        <x:v>Генерация трех видео в день</x:v>
      </x:c>
      <x:c r="J136" s="23" t="str">
        <x:v>Регулярные видео о приготовлении блюд на кухне заказчика с синтетической озвучкой.</x:v>
      </x:c>
      <x:c r="K136" s="23" t="str">
        <x:v>Метч относится к навыкам Давида, но это вакансия или найм, а не доказательство покупки Kora.</x:v>
      </x:c>
      <x:c r="L136" s="23" t="str">
        <x:v>Это вакансия, а не buyer project demand для Kora. 38 ответов: высокая конкуренция</x:v>
      </x:c>
      <x:c r="M136" s="23" t="str">
        <x:v>до 50 000 ₽</x:v>
      </x:c>
      <x:c r="N136" s="23" t="str">
        <x:v>не показано</x:v>
      </x:c>
      <x:c r="O136" s="26" t="n">
        <x:v>38</x:v>
      </x:c>
      <x:c r="P136" s="23" t="str">
        <x:v>не сохранено</x:v>
      </x:c>
      <x:c r="Q136" s="23" t="str">
        <x:v>RU</x:v>
      </x:c>
      <x:c r="R136" s="23" t="str">
        <x:v>https://www.fl.ru/projects/5510785/generatsiya-3h-video-v-den.html</x:v>
      </x:c>
      <x:c r="S136" s="23" t="str">
        <x:v>Вакансия / роль</x:v>
      </x:c>
      <x:c r="T136" s="23" t="str">
        <x:v>FL.ru AI category</x:v>
      </x:c>
    </x:row>
    <x:row r="137" ht="48" customHeight="1">
      <x:c r="A137" s="26" t="n">
        <x:v>133</x:v>
      </x:c>
      <x:c r="B137" s="23" t="str">
        <x:v>FL.ru</x:v>
      </x:c>
      <x:c r="C137" s="23" t="str">
        <x:v>5515509</x:v>
      </x:c>
      <x:c r="D137" s="23" t="str">
        <x:v>Контент и медиа</x:v>
      </x:c>
      <x:c r="E137" s="29" t="n">
        <x:v>35</x:v>
      </x:c>
      <x:c r="F137" s="23" t="str">
        <x:v>0-59% - низкое / off-core</x:v>
      </x:c>
      <x:c r="G137" s="23" t="str">
        <x:v>open</x:v>
      </x:c>
      <x:c r="H137" s="23" t="str">
        <x:v>project</x:v>
      </x:c>
      <x:c r="I137" s="23" t="str">
        <x:v>Контент для анонса кофейни</x:v>
      </x:c>
      <x:c r="J137" s="23" t="str">
        <x:v>Сгенерировать фото и видео для соцсетей по готовым текстовым идеям и материалам.</x:v>
      </x:c>
      <x:c r="K137" s="23" t="str">
        <x:v>AI здесь обычно является способом производства контента. Технический метч не превращает такую задачу в спрос на Kora.</x:v>
      </x:c>
      <x:c r="L137" s="23" t="str">
        <x:v>2 ответов</x:v>
      </x:c>
      <x:c r="M137" s="23" t="str">
        <x:v>по договоренности</x:v>
      </x:c>
      <x:c r="N137" s="23" t="str">
        <x:v>не показано</x:v>
      </x:c>
      <x:c r="O137" s="26" t="n">
        <x:v>2</x:v>
      </x:c>
      <x:c r="P137" s="23" t="str">
        <x:v>не сохранено</x:v>
      </x:c>
      <x:c r="Q137" s="23" t="str">
        <x:v>RU</x:v>
      </x:c>
      <x:c r="R137" s="23" t="str">
        <x:v>https://www.fl.ru/projects/5515509/napilit-kontenta-dlya-sotssetey-po-anonsu-kofeyni-k-dnyu-stroitelya.html</x:v>
      </x:c>
      <x:c r="S137" s="23" t="str">
        <x:v>Контент / media</x:v>
      </x:c>
      <x:c r="T137" s="23" t="str">
        <x:v>FL.ru AI category</x:v>
      </x:c>
    </x:row>
    <x:row r="138" ht="48" customHeight="1">
      <x:c r="A138" s="26" t="n">
        <x:v>134</x:v>
      </x:c>
      <x:c r="B138" s="23" t="str">
        <x:v>FL.ru</x:v>
      </x:c>
      <x:c r="C138" s="23" t="str">
        <x:v>5515201</x:v>
      </x:c>
      <x:c r="D138" s="23" t="str">
        <x:v>Контент и медиа</x:v>
      </x:c>
      <x:c r="E138" s="29" t="n">
        <x:v>35</x:v>
      </x:c>
      <x:c r="F138" s="23" t="str">
        <x:v>0-59% - низкое / off-core</x:v>
      </x:c>
      <x:c r="G138" s="23" t="str">
        <x:v>open</x:v>
      </x:c>
      <x:c r="H138" s="23" t="str">
        <x:v>project</x:v>
      </x:c>
      <x:c r="I138" s="23" t="str">
        <x:v>Сгенерировать картинки дверей-купе</x:v>
      </x:c>
      <x:c r="J138" s="23" t="str">
        <x:v>Создать 500 изображений дверей-купе по предоставленным референсам.</x:v>
      </x:c>
      <x:c r="K138" s="23" t="str">
        <x:v>AI здесь обычно является способом производства контента. Технический метч не превращает такую задачу в спрос на Kora.</x:v>
      </x:c>
      <x:c r="L138" s="23" t="str">
        <x:v>14 ответов</x:v>
      </x:c>
      <x:c r="M138" s="23" t="str">
        <x:v>по договоренности</x:v>
      </x:c>
      <x:c r="N138" s="23" t="str">
        <x:v>не показано</x:v>
      </x:c>
      <x:c r="O138" s="26" t="n">
        <x:v>14</x:v>
      </x:c>
      <x:c r="P138" s="23" t="str">
        <x:v>не сохранено</x:v>
      </x:c>
      <x:c r="Q138" s="23" t="str">
        <x:v>RU</x:v>
      </x:c>
      <x:c r="R138" s="23" t="str">
        <x:v>https://www.fl.ru/projects/5515201/sgenerirovat-kartinki-dverey-kupe.html</x:v>
      </x:c>
      <x:c r="S138" s="23" t="str">
        <x:v>Контент / media</x:v>
      </x:c>
      <x:c r="T138" s="23" t="str">
        <x:v>FL.ru AI category</x:v>
      </x:c>
    </x:row>
    <x:row r="139" ht="48" customHeight="1">
      <x:c r="A139" s="26" t="n">
        <x:v>135</x:v>
      </x:c>
      <x:c r="B139" s="23" t="str">
        <x:v>FL.ru</x:v>
      </x:c>
      <x:c r="C139" s="23" t="str">
        <x:v>5514894</x:v>
      </x:c>
      <x:c r="D139" s="23" t="str">
        <x:v>Контент и медиа</x:v>
      </x:c>
      <x:c r="E139" s="29" t="n">
        <x:v>30</x:v>
      </x:c>
      <x:c r="F139" s="23" t="str">
        <x:v>0-59% - низкое / off-core</x:v>
      </x:c>
      <x:c r="G139" s="23" t="str">
        <x:v>open</x:v>
      </x:c>
      <x:c r="H139" s="23" t="str">
        <x:v>project</x:v>
      </x:c>
      <x:c r="I139" s="23" t="str">
        <x:v>AI-видео</x:v>
      </x:c>
      <x:c r="J139" s="23" t="str">
        <x:v>Кинематографический рекламный ролик с движением, людьми и машинами.</x:v>
      </x:c>
      <x:c r="K139" s="23" t="str">
        <x:v>AI здесь обычно является способом производства контента. Технический метч не превращает такую задачу в спрос на Kora.</x:v>
      </x:c>
      <x:c r="L139" s="23" t="str">
        <x:v>12 ответов</x:v>
      </x:c>
      <x:c r="M139" s="23" t="str">
        <x:v>по договоренности</x:v>
      </x:c>
      <x:c r="N139" s="23" t="str">
        <x:v>не показано</x:v>
      </x:c>
      <x:c r="O139" s="26" t="n">
        <x:v>12</x:v>
      </x:c>
      <x:c r="P139" s="23" t="str">
        <x:v>не сохранено</x:v>
      </x:c>
      <x:c r="Q139" s="23" t="str">
        <x:v>RU</x:v>
      </x:c>
      <x:c r="R139" s="23" t="str">
        <x:v>https://www.fl.ru/projects/5514894/ai-video.html</x:v>
      </x:c>
      <x:c r="S139" s="23" t="str">
        <x:v>Контент / media</x:v>
      </x:c>
      <x:c r="T139" s="23" t="str">
        <x:v>FL.ru AI category</x:v>
      </x:c>
    </x:row>
    <x:row r="140" ht="48" customHeight="1">
      <x:c r="A140" s="26" t="n">
        <x:v>136</x:v>
      </x:c>
      <x:c r="B140" s="23" t="str">
        <x:v>FL.ru</x:v>
      </x:c>
      <x:c r="C140" s="23" t="str">
        <x:v>5513442</x:v>
      </x:c>
      <x:c r="D140" s="23" t="str">
        <x:v>Вакансии и роли</x:v>
      </x:c>
      <x:c r="E140" s="29" t="n">
        <x:v>30</x:v>
      </x:c>
      <x:c r="F140" s="23" t="str">
        <x:v>0-59% - низкое / off-core</x:v>
      </x:c>
      <x:c r="G140" s="23" t="str">
        <x:v>open</x:v>
      </x:c>
      <x:c r="H140" s="23" t="str">
        <x:v>vacancy</x:v>
      </x:c>
      <x:c r="I140" s="23" t="str">
        <x:v>AI-креатор коротких роликов</x:v>
      </x:c>
      <x:c r="J140" s="23" t="str">
        <x:v>Постоянное создание вертикальных роликов с виртуальными персонажами.</x:v>
      </x:c>
      <x:c r="K140" s="23" t="str">
        <x:v>Метч относится к навыкам Давида, но это вакансия или найм, а не доказательство покупки Kora.</x:v>
      </x:c>
      <x:c r="L140" s="23" t="str">
        <x:v>Это вакансия, а не buyer project demand для Kora. 28 ответов</x:v>
      </x:c>
      <x:c r="M140" s="23" t="str">
        <x:v>по результатам собеседования</x:v>
      </x:c>
      <x:c r="N140" s="23" t="str">
        <x:v>не показано</x:v>
      </x:c>
      <x:c r="O140" s="26" t="n">
        <x:v>28</x:v>
      </x:c>
      <x:c r="P140" s="23" t="str">
        <x:v>не сохранено</x:v>
      </x:c>
      <x:c r="Q140" s="23" t="str">
        <x:v>RU</x:v>
      </x:c>
      <x:c r="R140" s="23" t="str">
        <x:v>https://www.fl.ru/projects/5513442/nujen-ai-kreator-korotkih-rolikov-dlya-sotssetey-.html</x:v>
      </x:c>
      <x:c r="S140" s="23" t="str">
        <x:v>Вакансия / роль</x:v>
      </x:c>
      <x:c r="T140" s="23" t="str">
        <x:v>FL.ru AI category</x:v>
      </x:c>
    </x:row>
    <x:row r="141" ht="48" customHeight="1">
      <x:c r="A141" s="26" t="n">
        <x:v>137</x:v>
      </x:c>
      <x:c r="B141" s="23" t="str">
        <x:v>FL.ru</x:v>
      </x:c>
      <x:c r="C141" s="23" t="str">
        <x:v>5514564</x:v>
      </x:c>
      <x:c r="D141" s="23" t="str">
        <x:v>Контент и медиа</x:v>
      </x:c>
      <x:c r="E141" s="29" t="n">
        <x:v>30</x:v>
      </x:c>
      <x:c r="F141" s="23" t="str">
        <x:v>0-59% - низкое / off-core</x:v>
      </x:c>
      <x:c r="G141" s="23" t="str">
        <x:v>open</x:v>
      </x:c>
      <x:c r="H141" s="23" t="str">
        <x:v>project</x:v>
      </x:c>
      <x:c r="I141" s="23" t="str">
        <x:v>Делать картинки с ИИ</x:v>
      </x:c>
      <x:c r="J141" s="23" t="str">
        <x:v>Создать 360 однотипных изображений одежды на манекенах.</x:v>
      </x:c>
      <x:c r="K141" s="23" t="str">
        <x:v>AI здесь обычно является способом производства контента. Технический метч не превращает такую задачу в спрос на Kora.</x:v>
      </x:c>
      <x:c r="L141" s="23" t="str">
        <x:v>24 ответов</x:v>
      </x:c>
      <x:c r="M141" s="23" t="str">
        <x:v>по договоренности</x:v>
      </x:c>
      <x:c r="N141" s="23" t="str">
        <x:v>не показано</x:v>
      </x:c>
      <x:c r="O141" s="26" t="n">
        <x:v>24</x:v>
      </x:c>
      <x:c r="P141" s="23" t="str">
        <x:v>не сохранено</x:v>
      </x:c>
      <x:c r="Q141" s="23" t="str">
        <x:v>RU</x:v>
      </x:c>
      <x:c r="R141" s="23" t="str">
        <x:v>https://www.fl.ru/projects/5514564/delat-kartinki-s-ii.html</x:v>
      </x:c>
      <x:c r="S141" s="23" t="str">
        <x:v>Контент / media</x:v>
      </x:c>
      <x:c r="T141" s="23" t="str">
        <x:v>FL.ru AI category</x:v>
      </x:c>
    </x:row>
    <x:row r="142" ht="48" customHeight="1">
      <x:c r="A142" s="26" t="n">
        <x:v>138</x:v>
      </x:c>
      <x:c r="B142" s="23" t="str">
        <x:v>FL.ru</x:v>
      </x:c>
      <x:c r="C142" s="23" t="str">
        <x:v>5515145</x:v>
      </x:c>
      <x:c r="D142" s="23" t="str">
        <x:v>Контент и медиа</x:v>
      </x:c>
      <x:c r="E142" s="29" t="n">
        <x:v>30</x:v>
      </x:c>
      <x:c r="F142" s="23" t="str">
        <x:v>0-59% - низкое / off-core</x:v>
      </x:c>
      <x:c r="G142" s="23" t="str">
        <x:v>open</x:v>
      </x:c>
      <x:c r="H142" s="23" t="str">
        <x:v>project</x:v>
      </x:c>
      <x:c r="I142" s="23" t="str">
        <x:v>Карточка товара Wildberries с помощью ИИ</x:v>
      </x:c>
      <x:c r="J142" s="23" t="str">
        <x:v>Три статичных изображения одежды по референсам.</x:v>
      </x:c>
      <x:c r="K142" s="23" t="str">
        <x:v>AI здесь обычно является способом производства контента. Технический метч не превращает такую задачу в спрос на Kora.</x:v>
      </x:c>
      <x:c r="L142" s="23" t="str">
        <x:v>18 ответов</x:v>
      </x:c>
      <x:c r="M142" s="23" t="str">
        <x:v>по договоренности</x:v>
      </x:c>
      <x:c r="N142" s="23" t="str">
        <x:v>не показано</x:v>
      </x:c>
      <x:c r="O142" s="26" t="n">
        <x:v>18</x:v>
      </x:c>
      <x:c r="P142" s="23" t="str">
        <x:v>не сохранено</x:v>
      </x:c>
      <x:c r="Q142" s="23" t="str">
        <x:v>RU</x:v>
      </x:c>
      <x:c r="R142" s="23" t="str">
        <x:v>https://www.fl.ru/projects/5515145/sozdanie-kartochki-tovara-vb-s-pomoschyu-ii.html</x:v>
      </x:c>
      <x:c r="S142" s="23" t="str">
        <x:v>Контент / media</x:v>
      </x:c>
      <x:c r="T142" s="23" t="str">
        <x:v>FL.ru AI category</x:v>
      </x:c>
    </x:row>
    <x:row r="143" ht="48" customHeight="1">
      <x:c r="A143" s="26" t="n">
        <x:v>139</x:v>
      </x:c>
      <x:c r="B143" s="23" t="str">
        <x:v>FL.ru</x:v>
      </x:c>
      <x:c r="C143" s="23" t="str">
        <x:v>5515292</x:v>
      </x:c>
      <x:c r="D143" s="23" t="str">
        <x:v>Контент и медиа</x:v>
      </x:c>
      <x:c r="E143" s="29" t="n">
        <x:v>30</x:v>
      </x:c>
      <x:c r="F143" s="23" t="str">
        <x:v>0-59% - низкое / off-core</x:v>
      </x:c>
      <x:c r="G143" s="23" t="str">
        <x:v>open</x:v>
      </x:c>
      <x:c r="H143" s="23" t="str">
        <x:v>project</x:v>
      </x:c>
      <x:c r="I143" s="23" t="str">
        <x:v>Раскадровка AI-ролика для ювелирного бренда</x:v>
      </x:c>
      <x:c r="J143" s="23" t="str">
        <x:v>Концепция hero-видео и раскадровка для отбора идеи.</x:v>
      </x:c>
      <x:c r="K143" s="23" t="str">
        <x:v>AI здесь обычно является способом производства контента. Технический метч не превращает такую задачу в спрос на Kora.</x:v>
      </x:c>
      <x:c r="L143" s="23" t="str">
        <x:v>5 ответов</x:v>
      </x:c>
      <x:c r="M143" s="23" t="str">
        <x:v>2 500</x:v>
      </x:c>
      <x:c r="N143" s="23" t="str">
        <x:v>не показано</x:v>
      </x:c>
      <x:c r="O143" s="26" t="n">
        <x:v>5</x:v>
      </x:c>
      <x:c r="P143" s="23" t="str">
        <x:v>не сохранено</x:v>
      </x:c>
      <x:c r="Q143" s="23" t="str">
        <x:v>RU</x:v>
      </x:c>
      <x:c r="R143" s="23" t="str">
        <x:v>https://www.fl.ru/projects/5515292/kreativnaya-raskadrovka-ai-rolika-dlya-luxury-yuvelirnogo-brenda.html</x:v>
      </x:c>
      <x:c r="S143" s="23" t="str">
        <x:v>Контент / media</x:v>
      </x:c>
      <x:c r="T143" s="23" t="str">
        <x:v>FL.ru AI category</x:v>
      </x:c>
    </x:row>
    <x:row r="144" ht="48" customHeight="1">
      <x:c r="A144" s="26" t="n">
        <x:v>140</x:v>
      </x:c>
      <x:c r="B144" s="23" t="str">
        <x:v>FL.ru</x:v>
      </x:c>
      <x:c r="C144" s="23" t="str">
        <x:v>5514642</x:v>
      </x:c>
      <x:c r="D144" s="23" t="str">
        <x:v>Контент и медиа</x:v>
      </x:c>
      <x:c r="E144" s="29" t="n">
        <x:v>30</x:v>
      </x:c>
      <x:c r="F144" s="23" t="str">
        <x:v>0-59% - низкое / off-core</x:v>
      </x:c>
      <x:c r="G144" s="23" t="str">
        <x:v>open</x:v>
      </x:c>
      <x:c r="H144" s="23" t="str">
        <x:v>project</x:v>
      </x:c>
      <x:c r="I144" s="23" t="str">
        <x:v>Создание AI-видео с фото</x:v>
      </x:c>
      <x:c r="J144" s="23" t="str">
        <x:v>Короткий ролик из фотографий через Runway, Kling AI или аналог.</x:v>
      </x:c>
      <x:c r="K144" s="23" t="str">
        <x:v>AI здесь обычно является способом производства контента. Технический метч не превращает такую задачу в спрос на Kora.</x:v>
      </x:c>
      <x:c r="L144" s="23" t="str">
        <x:v>64 ответов: высокая конкуренция</x:v>
      </x:c>
      <x:c r="M144" s="23" t="str">
        <x:v>по договоренности</x:v>
      </x:c>
      <x:c r="N144" s="23" t="str">
        <x:v>не показано</x:v>
      </x:c>
      <x:c r="O144" s="26" t="n">
        <x:v>64</x:v>
      </x:c>
      <x:c r="P144" s="23" t="str">
        <x:v>не сохранено</x:v>
      </x:c>
      <x:c r="Q144" s="23" t="str">
        <x:v>RU</x:v>
      </x:c>
      <x:c r="R144" s="23" t="str">
        <x:v>https://www.fl.ru/projects/5514642/sozdanie-ai-video-s-foto.html</x:v>
      </x:c>
      <x:c r="S144" s="23" t="str">
        <x:v>Контент / media</x:v>
      </x:c>
      <x:c r="T144" s="23" t="str">
        <x:v>FL.ru AI category</x:v>
      </x:c>
    </x:row>
    <x:row r="145" ht="48" customHeight="1">
      <x:c r="A145" s="26" t="n">
        <x:v>141</x:v>
      </x:c>
      <x:c r="B145" s="23" t="str">
        <x:v>FL.ru</x:v>
      </x:c>
      <x:c r="C145" s="23" t="str">
        <x:v>5514366</x:v>
      </x:c>
      <x:c r="D145" s="23" t="str">
        <x:v>Вакансии и роли</x:v>
      </x:c>
      <x:c r="E145" s="29" t="n">
        <x:v>30</x:v>
      </x:c>
      <x:c r="F145" s="23" t="str">
        <x:v>0-59% - низкое / off-core</x:v>
      </x:c>
      <x:c r="G145" s="23" t="str">
        <x:v>open</x:v>
      </x:c>
      <x:c r="H145" s="23" t="str">
        <x:v>vacancy</x:v>
      </x:c>
      <x:c r="I145" s="23" t="str">
        <x:v>Создание песен в ИИ и монтаж клипов</x:v>
      </x:c>
      <x:c r="J145" s="23" t="str">
        <x:v>Тексты песен, генерация в Suno и монтаж на готовое видео.</x:v>
      </x:c>
      <x:c r="K145" s="23" t="str">
        <x:v>Метч относится к навыкам Давида, но это вакансия или найм, а не доказательство покупки Kora.</x:v>
      </x:c>
      <x:c r="L145" s="23" t="str">
        <x:v>Это вакансия, а не buyer project demand для Kora. 42 ответов: высокая конкуренция</x:v>
      </x:c>
      <x:c r="M145" s="23" t="str">
        <x:v>1 100 ₽</x:v>
      </x:c>
      <x:c r="N145" s="23" t="str">
        <x:v>не показано</x:v>
      </x:c>
      <x:c r="O145" s="26" t="n">
        <x:v>42</x:v>
      </x:c>
      <x:c r="P145" s="23" t="str">
        <x:v>не сохранено</x:v>
      </x:c>
      <x:c r="Q145" s="23" t="str">
        <x:v>RU</x:v>
      </x:c>
      <x:c r="R145" s="23" t="str">
        <x:v>https://www.fl.ru/projects/5514366/sozdanie-pesen-v-ii-i-montaj-klipov.html</x:v>
      </x:c>
      <x:c r="S145" s="23" t="str">
        <x:v>Вакансия / роль</x:v>
      </x:c>
      <x:c r="T145" s="23" t="str">
        <x:v>FL.ru AI category</x:v>
      </x:c>
    </x:row>
    <x:row r="146" ht="48" customHeight="1">
      <x:c r="A146" s="26" t="n">
        <x:v>142</x:v>
      </x:c>
      <x:c r="B146" s="23" t="str">
        <x:v>FL.ru</x:v>
      </x:c>
      <x:c r="C146" s="23" t="str">
        <x:v>5514820</x:v>
      </x:c>
      <x:c r="D146" s="23" t="str">
        <x:v>Контент и медиа</x:v>
      </x:c>
      <x:c r="E146" s="29" t="n">
        <x:v>30</x:v>
      </x:c>
      <x:c r="F146" s="23" t="str">
        <x:v>0-59% - низкое / off-core</x:v>
      </x:c>
      <x:c r="G146" s="23" t="str">
        <x:v>open</x:v>
      </x:c>
      <x:c r="H146" s="23" t="str">
        <x:v>project</x:v>
      </x:c>
      <x:c r="I146" s="23" t="str">
        <x:v>Создать видеоролик с помощью ИИ</x:v>
      </x:c>
      <x:c r="J146" s="23" t="str">
        <x:v>Реалистичный ролик по готовому сценарию с озвучкой, титрами и музыкой.</x:v>
      </x:c>
      <x:c r="K146" s="23" t="str">
        <x:v>AI здесь обычно является способом производства контента. Технический метч не превращает такую задачу в спрос на Kora.</x:v>
      </x:c>
      <x:c r="L146" s="23" t="str">
        <x:v>18 ответов</x:v>
      </x:c>
      <x:c r="M146" s="23" t="str">
        <x:v>по договоренности</x:v>
      </x:c>
      <x:c r="N146" s="23" t="str">
        <x:v>не показано</x:v>
      </x:c>
      <x:c r="O146" s="26" t="n">
        <x:v>18</x:v>
      </x:c>
      <x:c r="P146" s="23" t="str">
        <x:v>не сохранено</x:v>
      </x:c>
      <x:c r="Q146" s="23" t="str">
        <x:v>RU</x:v>
      </x:c>
      <x:c r="R146" s="23" t="str">
        <x:v>https://www.fl.ru/projects/5514820/sozdat-videorolik-s-pomoschyu-ii.html</x:v>
      </x:c>
      <x:c r="S146" s="23" t="str">
        <x:v>Контент / media</x:v>
      </x:c>
      <x:c r="T146" s="23" t="str">
        <x:v>FL.ru AI category</x:v>
      </x:c>
    </x:row>
    <x:row r="147" ht="48" customHeight="1">
      <x:c r="A147" s="26" t="n">
        <x:v>143</x:v>
      </x:c>
      <x:c r="B147" s="23" t="str">
        <x:v>FL.ru</x:v>
      </x:c>
      <x:c r="C147" s="23" t="str">
        <x:v>5510020</x:v>
      </x:c>
      <x:c r="D147" s="23" t="str">
        <x:v>Вакансии и роли</x:v>
      </x:c>
      <x:c r="E147" s="29" t="n">
        <x:v>25</x:v>
      </x:c>
      <x:c r="F147" s="23" t="str">
        <x:v>0-59% - низкое / off-core</x:v>
      </x:c>
      <x:c r="G147" s="23" t="str">
        <x:v>open</x:v>
      </x:c>
      <x:c r="H147" s="23" t="str">
        <x:v>vacancy</x:v>
      </x:c>
      <x:c r="I147" s="23" t="str">
        <x:v>Вирусные AI-видео для TikTok и Reels</x:v>
      </x:c>
      <x:c r="J147" s="23" t="str">
        <x:v>Регулярное производство коротких видео под ключ с крайне низким заявленным бюджетом.</x:v>
      </x:c>
      <x:c r="K147" s="23" t="str">
        <x:v>Метч относится к навыкам Давида, но это вакансия или найм, а не доказательство покупки Kora.</x:v>
      </x:c>
      <x:c r="L147" s="23" t="str">
        <x:v>Это вакансия, а не buyer project demand для Kora. 15 ответов</x:v>
      </x:c>
      <x:c r="M147" s="23" t="str">
        <x:v>до 100 ₽</x:v>
      </x:c>
      <x:c r="N147" s="23" t="str">
        <x:v>не показано</x:v>
      </x:c>
      <x:c r="O147" s="26" t="n">
        <x:v>15</x:v>
      </x:c>
      <x:c r="P147" s="23" t="str">
        <x:v>не сохранено</x:v>
      </x:c>
      <x:c r="Q147" s="23" t="str">
        <x:v>RU</x:v>
      </x:c>
      <x:c r="R147" s="23" t="str">
        <x:v>https://www.fl.ru/projects/5510020/sozdanie-virusnyih-ai-video-dlya-tiktok---reels-pod-klyuch.html</x:v>
      </x:c>
      <x:c r="S147" s="23" t="str">
        <x:v>Вакансия / роль</x:v>
      </x:c>
      <x:c r="T147" s="23" t="str">
        <x:v>FL.ru AI category</x:v>
      </x:c>
    </x:row>
    <x:row r="148" ht="48" customHeight="1">
      <x:c r="A148" s="26" t="n">
        <x:v>144</x:v>
      </x:c>
      <x:c r="B148" s="23" t="str">
        <x:v>FL.ru</x:v>
      </x:c>
      <x:c r="C148" s="23" t="str">
        <x:v>5514940</x:v>
      </x:c>
      <x:c r="D148" s="23" t="str">
        <x:v>Контент и медиа</x:v>
      </x:c>
      <x:c r="E148" s="29" t="n">
        <x:v>25</x:v>
      </x:c>
      <x:c r="F148" s="23" t="str">
        <x:v>0-59% - низкое / off-core</x:v>
      </x:c>
      <x:c r="G148" s="23" t="str">
        <x:v>open</x:v>
      </x:c>
      <x:c r="H148" s="23" t="str">
        <x:v>project</x:v>
      </x:c>
      <x:c r="I148" s="23" t="str">
        <x:v>Сгенерировать картинку в ИИ</x:v>
      </x:c>
      <x:c r="J148" s="23" t="str">
        <x:v>Собрать достопримечательности города в одну мультяшную композицию.</x:v>
      </x:c>
      <x:c r="K148" s="23" t="str">
        <x:v>AI здесь обычно является способом производства контента. Технический метч не превращает такую задачу в спрос на Kora.</x:v>
      </x:c>
      <x:c r="L148" s="23" t="str">
        <x:v>21 ответов</x:v>
      </x:c>
      <x:c r="M148" s="23" t="str">
        <x:v>по договоренности</x:v>
      </x:c>
      <x:c r="N148" s="23" t="str">
        <x:v>не показано</x:v>
      </x:c>
      <x:c r="O148" s="26" t="n">
        <x:v>21</x:v>
      </x:c>
      <x:c r="P148" s="23" t="str">
        <x:v>не сохранено</x:v>
      </x:c>
      <x:c r="Q148" s="23" t="str">
        <x:v>RU</x:v>
      </x:c>
      <x:c r="R148" s="23" t="str">
        <x:v>https://www.fl.ru/projects/5514940/sgenerirovat-kartinku-v-ii.html</x:v>
      </x:c>
      <x:c r="S148" s="23" t="str">
        <x:v>Контент / media</x:v>
      </x:c>
      <x:c r="T148" s="23" t="str">
        <x:v>FL.ru AI category</x:v>
      </x:c>
    </x:row>
    <x:row r="149" ht="48" customHeight="1">
      <x:c r="A149" s="26" t="n">
        <x:v>145</x:v>
      </x:c>
      <x:c r="B149" s="23" t="str">
        <x:v>FL.ru</x:v>
      </x:c>
      <x:c r="C149" s="23" t="str">
        <x:v>5509776</x:v>
      </x:c>
      <x:c r="D149" s="23" t="str">
        <x:v>Вакансии и роли</x:v>
      </x:c>
      <x:c r="E149" s="29" t="n">
        <x:v>25</x:v>
      </x:c>
      <x:c r="F149" s="23" t="str">
        <x:v>0-59% - низкое / off-core</x:v>
      </x:c>
      <x:c r="G149" s="23" t="str">
        <x:v>open</x:v>
      </x:c>
      <x:c r="H149" s="23" t="str">
        <x:v>vacancy</x:v>
      </x:c>
      <x:c r="I149" s="23" t="str">
        <x:v>Создание AI-мультфильмов</x:v>
      </x:c>
      <x:c r="J149" s="23" t="str">
        <x:v>Роль для генерации видео и анимации с помощью нейросетей.</x:v>
      </x:c>
      <x:c r="K149" s="23" t="str">
        <x:v>Метч относится к навыкам Давида, но это вакансия или найм, а не доказательство покупки Kora.</x:v>
      </x:c>
      <x:c r="L149" s="23" t="str">
        <x:v>Это вакансия, а не buyer project demand для Kora. 51 ответов: высокая конкуренция</x:v>
      </x:c>
      <x:c r="M149" s="23" t="str">
        <x:v>до 2 000 ₽</x:v>
      </x:c>
      <x:c r="N149" s="23" t="str">
        <x:v>не показано</x:v>
      </x:c>
      <x:c r="O149" s="26" t="n">
        <x:v>51</x:v>
      </x:c>
      <x:c r="P149" s="23" t="str">
        <x:v>не сохранено</x:v>
      </x:c>
      <x:c r="Q149" s="23" t="str">
        <x:v>RU</x:v>
      </x:c>
      <x:c r="R149" s="23" t="str">
        <x:v>https://www.fl.ru/projects/5509776/sozdanie-ai-multfilmov.html</x:v>
      </x:c>
      <x:c r="S149" s="23" t="str">
        <x:v>Вакансия / роль</x:v>
      </x:c>
      <x:c r="T149" s="23" t="str">
        <x:v>FL.ru AI category</x:v>
      </x:c>
    </x:row>
    <x:row r="150" ht="48" customHeight="1">
      <x:c r="A150" s="26" t="n">
        <x:v>146</x:v>
      </x:c>
      <x:c r="B150" s="23" t="str">
        <x:v>FL.ru</x:v>
      </x:c>
      <x:c r="C150" s="23" t="str">
        <x:v>5507941</x:v>
      </x:c>
      <x:c r="D150" s="23" t="str">
        <x:v>Контент и медиа</x:v>
      </x:c>
      <x:c r="E150" s="29" t="n">
        <x:v>25</x:v>
      </x:c>
      <x:c r="F150" s="23" t="str">
        <x:v>0-59% - низкое / off-core</x:v>
      </x:c>
      <x:c r="G150" s="23" t="str">
        <x:v>assigned</x:v>
      </x:c>
      <x:c r="H150" s="23" t="str">
        <x:v>project</x:v>
      </x:c>
      <x:c r="I150" s="23" t="str">
        <x:v>Визуал для шести коротких роликов</x:v>
      </x:c>
      <x:c r="J150" s="23" t="str">
        <x:v>Короткие ролики по готовому сценарию для лесного лагеря. Исполнитель уже определен.</x:v>
      </x:c>
      <x:c r="K150" s="23" t="str">
        <x:v>AI здесь обычно является способом производства контента. Технический метч не превращает такую задачу в спрос на Kora.</x:v>
      </x:c>
      <x:c r="L150" s="23" t="str">
        <x:v>Исполнитель уже определен: строка только для исторического спроса</x:v>
      </x:c>
      <x:c r="M150" s="23" t="str">
        <x:v>по договоренности</x:v>
      </x:c>
      <x:c r="N150" s="23" t="str">
        <x:v>не показано</x:v>
      </x:c>
      <x:c r="O150" s="26" t="n">
        <x:v>0</x:v>
      </x:c>
      <x:c r="P150" s="23" t="str">
        <x:v>не сохранено</x:v>
      </x:c>
      <x:c r="Q150" s="23" t="str">
        <x:v>RU</x:v>
      </x:c>
      <x:c r="R150" s="23" t="str">
        <x:v>https://www.fl.ru/projects/5507941/vizual-dlya-6-korotkih-verikalnyih-neyrosetevyih-rolika-videootryivki-opisyivayuschie-aktivnost.html</x:v>
      </x:c>
      <x:c r="S150" s="23" t="str">
        <x:v>Контент / media</x:v>
      </x:c>
      <x:c r="T150" s="23" t="str">
        <x:v>FL.ru AI category</x:v>
      </x:c>
    </x:row>
    <x:row r="151" ht="48" customHeight="1">
      <x:c r="A151" s="26" t="n">
        <x:v>147</x:v>
      </x:c>
      <x:c r="B151" s="23" t="str">
        <x:v>FL.ru</x:v>
      </x:c>
      <x:c r="C151" s="23" t="str">
        <x:v>5513292</x:v>
      </x:c>
      <x:c r="D151" s="23" t="str">
        <x:v>Вакансии и роли</x:v>
      </x:c>
      <x:c r="E151" s="29" t="n">
        <x:v>20</x:v>
      </x:c>
      <x:c r="F151" s="23" t="str">
        <x:v>0-59% - низкое / off-core</x:v>
      </x:c>
      <x:c r="G151" s="23" t="str">
        <x:v>open</x:v>
      </x:c>
      <x:c r="H151" s="23" t="str">
        <x:v>vacancy</x:v>
      </x:c>
      <x:c r="I151" s="23" t="str">
        <x:v>YouTube-менеджер</x:v>
      </x:c>
      <x:c r="J151" s="23" t="str">
        <x:v>Полное ведение канала, контент-план и аналитика. AI-боль не описана.</x:v>
      </x:c>
      <x:c r="K151" s="23" t="str">
        <x:v>Метч относится к навыкам Давида, но это вакансия или найм, а не доказательство покупки Kora.</x:v>
      </x:c>
      <x:c r="L151" s="23" t="str">
        <x:v>Это вакансия, а не buyer project demand для Kora. 13 ответов</x:v>
      </x:c>
      <x:c r="M151" s="23" t="str">
        <x:v>до 10 000 ₽</x:v>
      </x:c>
      <x:c r="N151" s="23" t="str">
        <x:v>не показано</x:v>
      </x:c>
      <x:c r="O151" s="26" t="n">
        <x:v>13</x:v>
      </x:c>
      <x:c r="P151" s="23" t="str">
        <x:v>не сохранено</x:v>
      </x:c>
      <x:c r="Q151" s="23" t="str">
        <x:v>RU</x:v>
      </x:c>
      <x:c r="R151" s="23" t="str">
        <x:v>https://www.fl.ru/projects/5513292/youtube-menedjer-dlya-vedeniya-kanala.html</x:v>
      </x:c>
      <x:c r="S151" s="23" t="str">
        <x:v>Вакансия / роль</x:v>
      </x:c>
      <x:c r="T151" s="23" t="str">
        <x:v>FL.ru AI category</x:v>
      </x:c>
    </x:row>
    <x:row r="152" ht="48" customHeight="1">
      <x:c r="A152" s="26" t="n">
        <x:v>148</x:v>
      </x:c>
      <x:c r="B152" s="23" t="str">
        <x:v>FL.ru</x:v>
      </x:c>
      <x:c r="C152" s="23" t="str">
        <x:v>5507575</x:v>
      </x:c>
      <x:c r="D152" s="23" t="str">
        <x:v>Вакансии и роли</x:v>
      </x:c>
      <x:c r="E152" s="29" t="n">
        <x:v>20</x:v>
      </x:c>
      <x:c r="F152" s="23" t="str">
        <x:v>0-59% - низкое / off-core</x:v>
      </x:c>
      <x:c r="G152" s="23" t="str">
        <x:v>open</x:v>
      </x:c>
      <x:c r="H152" s="23" t="str">
        <x:v>vacancy</x:v>
      </x:c>
      <x:c r="I152" s="23" t="str">
        <x:v>Куратор AI-инструментов</x:v>
      </x:c>
      <x:c r="J152" s="23" t="str">
        <x:v>Сопровождение участников образовательного AI-проекта.</x:v>
      </x:c>
      <x:c r="K152" s="23" t="str">
        <x:v>Метч относится к навыкам Давида, но это вакансия или найм, а не доказательство покупки Kora.</x:v>
      </x:c>
      <x:c r="L152" s="23" t="str">
        <x:v>Это вакансия, а не buyer project demand для Kora. 22 ответов</x:v>
      </x:c>
      <x:c r="M152" s="23" t="str">
        <x:v>до 40 000 ₽</x:v>
      </x:c>
      <x:c r="N152" s="23" t="str">
        <x:v>не показано</x:v>
      </x:c>
      <x:c r="O152" s="26" t="n">
        <x:v>22</x:v>
      </x:c>
      <x:c r="P152" s="23" t="str">
        <x:v>не сохранено</x:v>
      </x:c>
      <x:c r="Q152" s="23" t="str">
        <x:v>RU</x:v>
      </x:c>
      <x:c r="R152" s="23" t="str">
        <x:v>https://www.fl.ru/projects/5507575/kurator-ai-instrumentov.html</x:v>
      </x:c>
      <x:c r="S152" s="23" t="str">
        <x:v>Вакансия / роль</x:v>
      </x:c>
      <x:c r="T152" s="23" t="str">
        <x:v>FL.ru AI category</x:v>
      </x:c>
    </x:row>
    <x:row r="153" ht="48" customHeight="1">
      <x:c r="A153" s="26" t="n">
        <x:v>149</x:v>
      </x:c>
      <x:c r="B153" s="23" t="str">
        <x:v>FL.ru</x:v>
      </x:c>
      <x:c r="C153" s="23" t="str">
        <x:v>5507284</x:v>
      </x:c>
      <x:c r="D153" s="23" t="str">
        <x:v>Вакансии и роли</x:v>
      </x:c>
      <x:c r="E153" s="29" t="n">
        <x:v>20</x:v>
      </x:c>
      <x:c r="F153" s="23" t="str">
        <x:v>0-59% - низкое / off-core</x:v>
      </x:c>
      <x:c r="G153" s="23" t="str">
        <x:v>open</x:v>
      </x:c>
      <x:c r="H153" s="23" t="str">
        <x:v>vacancy</x:v>
      </x:c>
      <x:c r="I153" s="23" t="str">
        <x:v>Куратор по вайб-кодингу</x:v>
      </x:c>
      <x:c r="J153" s="23" t="str">
        <x:v>Наставник в образовательной программе по AI-инструментам.</x:v>
      </x:c>
      <x:c r="K153" s="23" t="str">
        <x:v>Метч относится к навыкам Давида, но это вакансия или найм, а не доказательство покупки Kora.</x:v>
      </x:c>
      <x:c r="L153" s="23" t="str">
        <x:v>Это вакансия, а не buyer project demand для Kora. 28 ответов</x:v>
      </x:c>
      <x:c r="M153" s="23" t="str">
        <x:v>до 40 000 ₽</x:v>
      </x:c>
      <x:c r="N153" s="23" t="str">
        <x:v>не показано</x:v>
      </x:c>
      <x:c r="O153" s="26" t="n">
        <x:v>28</x:v>
      </x:c>
      <x:c r="P153" s="23" t="str">
        <x:v>не сохранено</x:v>
      </x:c>
      <x:c r="Q153" s="23" t="str">
        <x:v>RU</x:v>
      </x:c>
      <x:c r="R153" s="23" t="str">
        <x:v>https://www.fl.ru/projects/5507284/kurator-po-vay-kodingu-.html</x:v>
      </x:c>
      <x:c r="S153" s="23" t="str">
        <x:v>Вакансия / роль</x:v>
      </x:c>
      <x:c r="T153" s="23" t="str">
        <x:v>FL.ru AI category</x:v>
      </x:c>
    </x:row>
    <x:row r="154" ht="48" customHeight="1">
      <x:c r="A154" s="26" t="n">
        <x:v>150</x:v>
      </x:c>
      <x:c r="B154" s="23" t="str">
        <x:v>FL.ru</x:v>
      </x:c>
      <x:c r="C154" s="23" t="str">
        <x:v>5507579</x:v>
      </x:c>
      <x:c r="D154" s="23" t="str">
        <x:v>Вакансии и роли</x:v>
      </x:c>
      <x:c r="E154" s="29" t="n">
        <x:v>20</x:v>
      </x:c>
      <x:c r="F154" s="23" t="str">
        <x:v>0-59% - низкое / off-core</x:v>
      </x:c>
      <x:c r="G154" s="23" t="str">
        <x:v>open</x:v>
      </x:c>
      <x:c r="H154" s="23" t="str">
        <x:v>vacancy</x:v>
      </x:c>
      <x:c r="I154" s="23" t="str">
        <x:v>Проверка чата AI</x:v>
      </x:c>
      <x:c r="J154" s="23" t="str">
        <x:v>Сопровождение участников образовательного AI-проекта.</x:v>
      </x:c>
      <x:c r="K154" s="23" t="str">
        <x:v>Метч относится к навыкам Давида, но это вакансия или найм, а не доказательство покупки Kora.</x:v>
      </x:c>
      <x:c r="L154" s="23" t="str">
        <x:v>31 ответ; возможный дубль 5507575; не считать независимым demand signal.</x:v>
      </x:c>
      <x:c r="M154" s="23" t="str">
        <x:v>до 40 000 ₽</x:v>
      </x:c>
      <x:c r="N154" s="23" t="str">
        <x:v>не показано</x:v>
      </x:c>
      <x:c r="O154" s="26" t="n">
        <x:v>31</x:v>
      </x:c>
      <x:c r="P154" s="23" t="str">
        <x:v>не сохранено</x:v>
      </x:c>
      <x:c r="Q154" s="23" t="str">
        <x:v>RU</x:v>
      </x:c>
      <x:c r="R154" s="23" t="str">
        <x:v>https://www.fl.ru/projects/5507579/proverka-chata-ai.html</x:v>
      </x:c>
      <x:c r="S154" s="23" t="str">
        <x:v>Вакансия / роль</x:v>
      </x:c>
      <x:c r="T154" s="23" t="str">
        <x:v>FL.ru AI category</x:v>
      </x:c>
    </x:row>
    <x:row r="155" ht="48" customHeight="1">
      <x:c r="A155" s="26" t="n">
        <x:v>151</x:v>
      </x:c>
      <x:c r="B155" s="23" t="str">
        <x:v>FL.ru</x:v>
      </x:c>
      <x:c r="C155" s="23" t="str">
        <x:v>5513306</x:v>
      </x:c>
      <x:c r="D155" s="23" t="str">
        <x:v>Вакансии и роли</x:v>
      </x:c>
      <x:c r="E155" s="29" t="n">
        <x:v>20</x:v>
      </x:c>
      <x:c r="F155" s="23" t="str">
        <x:v>0-59% - низкое / off-core</x:v>
      </x:c>
      <x:c r="G155" s="23" t="str">
        <x:v>open</x:v>
      </x:c>
      <x:c r="H155" s="23" t="str">
        <x:v>vacancy</x:v>
      </x:c>
      <x:c r="I155" s="23" t="str">
        <x:v>Редактирование 15-секундного видео</x:v>
      </x:c>
      <x:c r="J155" s="23" t="str">
        <x:v>Заменить фон и дорисовать длинный рукав.</x:v>
      </x:c>
      <x:c r="K155" s="23" t="str">
        <x:v>Метч относится к навыкам Давида, но это вакансия или найм, а не доказательство покупки Kora.</x:v>
      </x:c>
      <x:c r="L155" s="23" t="str">
        <x:v>Это вакансия, а не buyer project demand для Kora. 53 ответов: высокая конкуренция</x:v>
      </x:c>
      <x:c r="M155" s="23" t="str">
        <x:v>1 000 ₽</x:v>
      </x:c>
      <x:c r="N155" s="23" t="str">
        <x:v>не показано</x:v>
      </x:c>
      <x:c r="O155" s="26" t="n">
        <x:v>53</x:v>
      </x:c>
      <x:c r="P155" s="23" t="str">
        <x:v>не сохранено</x:v>
      </x:c>
      <x:c r="Q155" s="23" t="str">
        <x:v>RU</x:v>
      </x:c>
      <x:c r="R155" s="23" t="str">
        <x:v>https://www.fl.ru/projects/5513306/ii-redaktirovanie-video-15-sek-samo-video-est-.html</x:v>
      </x:c>
      <x:c r="S155" s="23" t="str">
        <x:v>Вакансия / роль</x:v>
      </x:c>
      <x:c r="T155" s="23" t="str">
        <x:v>FL.ru AI category</x:v>
      </x:c>
    </x:row>
    <x:row r="156" ht="48" customHeight="1">
      <x:c r="A156" s="26" t="n">
        <x:v>152</x:v>
      </x:c>
      <x:c r="B156" s="23" t="str">
        <x:v>Upwork</x:v>
      </x:c>
      <x:c r="C156" s="23" t="str">
        <x:v>~022081987819979528183</x:v>
      </x:c>
      <x:c r="D156" s="23" t="str">
        <x:v>Контент и медиа</x:v>
      </x:c>
      <x:c r="E156" s="29" t="n">
        <x:v>20</x:v>
      </x:c>
      <x:c r="F156" s="23" t="str">
        <x:v>0-59% - низкое / off-core</x:v>
      </x:c>
      <x:c r="G156" s="23" t="str">
        <x:v>captured - recheck</x:v>
      </x:c>
      <x:c r="H156" s="23" t="str">
        <x:v>не указано</x:v>
      </x:c>
      <x:c r="I156" s="23" t="str">
        <x:v>AI Agent Builder for Chatbot Development</x:v>
      </x:c>
      <x:c r="J156" s="23" t="str">
        <x:v>Нужно автоматически создавать субтитры на гаитянском креольском из аудиодорожки видео через speech-to-text и интегрировать решение в существующую платформу. Остальная часть описания лишь общо упоминает conversational AI и пользовательский опыт.</x:v>
      </x:c>
      <x:c r="K156" s="23" t="str">
        <x:v>API-интеграция и AI-функция технически выполнимы, но основная задача относится к распознаванию речи, локализации и генерации субтитров, а не к сильному направлению Kora. Описание также не объясняет данные, качество перевода и критерии приемки.</x:v>
      </x:c>
      <x:c r="L156" s="23" t="str">
        <x:v>Нужна компетенция в Haitian Creole speech-to-text и оценке качества языка, которая не подтверждена. Оплата клиента не подтверждена, расходов нет и имеется 20-50 предложений.</x:v>
      </x:c>
      <x:c r="M156" s="23" t="str">
        <x:v>$500</x:v>
      </x:c>
      <x:c r="N156" s="23" t="str">
        <x:v>unverified</x:v>
      </x:c>
      <x:c r="O156" s="26" t="str">
        <x:v>20 to 50</x:v>
      </x:c>
      <x:c r="P156" s="23" t="str">
        <x:v>11 hours ago</x:v>
      </x:c>
      <x:c r="Q156" s="23" t="str">
        <x:v>United States</x:v>
      </x:c>
      <x:c r="R156" s="23" t="str">
        <x:v>https://www.upwork.com/jobs/Agent-Builder-for-Chatbot-Development_~022081987819979528183/?referrer_url_path=find_work_home</x:v>
      </x:c>
      <x:c r="S156" s="23" t="str">
        <x:v>Контент и маркетинговая автоматизация</x:v>
      </x:c>
      <x:c r="T156" s="23" t="str">
        <x:v>best_matches</x:v>
      </x:c>
    </x:row>
    <x:row r="157" ht="48" customHeight="1">
      <x:c r="A157" s="26" t="n">
        <x:v>153</x:v>
      </x:c>
      <x:c r="B157" s="23" t="str">
        <x:v>FL.ru</x:v>
      </x:c>
      <x:c r="C157" s="23" t="str">
        <x:v>5514075</x:v>
      </x:c>
      <x:c r="D157" s="23" t="str">
        <x:v>Смежное</x:v>
      </x:c>
      <x:c r="E157" s="29" t="n">
        <x:v>20</x:v>
      </x:c>
      <x:c r="F157" s="23" t="str">
        <x:v>0-59% - низкое / off-core</x:v>
      </x:c>
      <x:c r="G157" s="23" t="str">
        <x:v>assigned</x:v>
      </x:c>
      <x:c r="H157" s="23" t="str">
        <x:v>project</x:v>
      </x:c>
      <x:c r="I157" s="23" t="str">
        <x:v>Пиксельная разметка фотографий</x:v>
      </x:c>
      <x:c r="J157" s="23" t="str">
        <x:v>Ручная разметка 40 фотографий личинок. Исполнитель уже определен.</x:v>
      </x:c>
      <x:c r="K157" s="23" t="str">
        <x:v>Частичное или слабое совпадение. Использовать только как дополнительный сигнал, не как приоритетный лид.</x:v>
      </x:c>
      <x:c r="L157" s="23" t="str">
        <x:v>Исполнитель уже определен: строка только для исторического спроса</x:v>
      </x:c>
      <x:c r="M157" s="23" t="str">
        <x:v>4 000</x:v>
      </x:c>
      <x:c r="N157" s="23" t="str">
        <x:v>не показано</x:v>
      </x:c>
      <x:c r="O157" s="26" t="n">
        <x:v>0</x:v>
      </x:c>
      <x:c r="P157" s="23" t="str">
        <x:v>не сохранено</x:v>
      </x:c>
      <x:c r="Q157" s="23" t="str">
        <x:v>RU</x:v>
      </x:c>
      <x:c r="R157" s="23" t="str">
        <x:v>https://www.fl.ru/projects/5514075/razmetka-40-fotografiy-lichinok-popikselnyimi-maskami.html</x:v>
      </x:c>
      <x:c r="S157" s="23" t="str">
        <x:v>Смежное</x:v>
      </x:c>
      <x:c r="T157" s="23" t="str">
        <x:v>FL.ru AI category</x:v>
      </x:c>
    </x:row>
    <x:row r="158" ht="48" customHeight="1">
      <x:c r="A158" s="26" t="n">
        <x:v>154</x:v>
      </x:c>
      <x:c r="B158" s="23" t="str">
        <x:v>FL.ru</x:v>
      </x:c>
      <x:c r="C158" s="23" t="str">
        <x:v>5513649</x:v>
      </x:c>
      <x:c r="D158" s="23" t="str">
        <x:v>Вакансии и роли</x:v>
      </x:c>
      <x:c r="E158" s="29" t="n">
        <x:v>15</x:v>
      </x:c>
      <x:c r="F158" s="23" t="str">
        <x:v>0-59% - низкое / off-core</x:v>
      </x:c>
      <x:c r="G158" s="23" t="str">
        <x:v>open</x:v>
      </x:c>
      <x:c r="H158" s="23" t="str">
        <x:v>vacancy</x:v>
      </x:c>
      <x:c r="I158" s="23" t="str">
        <x:v>Venture Strategy &amp; AI Intelligence Intern</x:v>
      </x:c>
      <x:c r="J158" s="23" t="str">
        <x:v>Удаленная стажировка в аналитической платформе для стартапов.</x:v>
      </x:c>
      <x:c r="K158" s="23" t="str">
        <x:v>Метч относится к навыкам Давида, но это вакансия или найм, а не доказательство покупки Kora.</x:v>
      </x:c>
      <x:c r="L158" s="23" t="str">
        <x:v>Это вакансия, а не buyer project demand для Kora. 6 ответов</x:v>
      </x:c>
      <x:c r="M158" s="23" t="str">
        <x:v>по результатам собеседования</x:v>
      </x:c>
      <x:c r="N158" s="23" t="str">
        <x:v>не показано</x:v>
      </x:c>
      <x:c r="O158" s="26" t="n">
        <x:v>6</x:v>
      </x:c>
      <x:c r="P158" s="23" t="str">
        <x:v>не сохранено</x:v>
      </x:c>
      <x:c r="Q158" s="23" t="str">
        <x:v>RU</x:v>
      </x:c>
      <x:c r="R158" s="23" t="str">
        <x:v>https://www.fl.ru/projects/5513649/venture-strategy--ai-intelligence-consultant-intern.html</x:v>
      </x:c>
      <x:c r="S158" s="23" t="str">
        <x:v>Вакансия / роль</x:v>
      </x:c>
      <x:c r="T158" s="23" t="str">
        <x:v>FL.ru AI category</x:v>
      </x:c>
    </x:row>
    <x:row r="159" ht="48" customHeight="1">
      <x:c r="A159" s="26" t="n">
        <x:v>155</x:v>
      </x:c>
      <x:c r="B159" s="23" t="str">
        <x:v>Upwork</x:v>
      </x:c>
      <x:c r="C159" s="23" t="str">
        <x:v>~022079728619929483014</x:v>
      </x:c>
      <x:c r="D159" s="23" t="str">
        <x:v>Общие, слабые или off-core</x:v>
      </x:c>
      <x:c r="E159" s="29" t="n">
        <x:v>15</x:v>
      </x:c>
      <x:c r="F159" s="23" t="str">
        <x:v>0-59% - низкое / off-core</x:v>
      </x:c>
      <x:c r="G159" s="23" t="str">
        <x:v>captured - recheck</x:v>
      </x:c>
      <x:c r="H159" s="23" t="str">
        <x:v>hourly</x:v>
      </x:c>
      <x:c r="I159" s="23" t="str">
        <x:v>AI Workflow Automation Developer</x:v>
      </x:c>
      <x:c r="J159" s="23" t="str">
        <x:v>По доступному тексту видно только название роли AI Workflow Automation Developer. Вместо описания задачи карточка показывает служебную фразу Upwork, поэтому требования и ожидаемый результат неизвестны.</x:v>
      </x:c>
      <x:c r="K159" s="23" t="str">
        <x:v>Название формально совпадает с направлением AI-автоматизации, а у клиента есть подтвержденная оплата, рейтинг 4.9 и более $10000 расходов. Однако технический и продуктовый fit невозможно подтвердить без исходного описания.</x:v>
      </x:c>
      <x:c r="L159" s="23" t="str">
        <x:v>Карточка помечена как короткая и как точный дубликат, confidence низкий; отсутствуют scope, стек и deliverables. Уже 50+ откликов, поэтому тратить Connects без восстановления полного текста нерационально.</x:v>
      </x:c>
      <x:c r="M159" s="23" t="str">
        <x:v>Hourly: $20.00 - $135.00</x:v>
      </x:c>
      <x:c r="N159" s="23" t="str">
        <x:v>verified</x:v>
      </x:c>
      <x:c r="O159" s="26" t="str">
        <x:v>50+</x:v>
      </x:c>
      <x:c r="P159" s="23" t="str">
        <x:v>6 days ago</x:v>
      </x:c>
      <x:c r="Q159" s="23" t="str">
        <x:v>United States</x:v>
      </x:c>
      <x:c r="R159" s="23" t="str">
        <x:v>https://www.upwork.com/jobs/span-class-highlight-span-Workflow-span-class-highlight-Automation-span-Developer_~022079728619929483014/?referrer_url_path=/nx/search/jobs/</x:v>
      </x:c>
      <x:c r="S159" s="23" t="str">
        <x:v>Общие, слабые или off-core задачи</x:v>
      </x:c>
      <x:c r="T159" s="23" t="str">
        <x:v>search:AI agent automation:page5</x:v>
      </x:c>
    </x:row>
    <x:row r="160" ht="48" customHeight="1">
      <x:c r="A160" s="26" t="n">
        <x:v>156</x:v>
      </x:c>
      <x:c r="B160" s="23" t="str">
        <x:v>FL.ru</x:v>
      </x:c>
      <x:c r="C160" s="23" t="str">
        <x:v>5514593</x:v>
      </x:c>
      <x:c r="D160" s="23" t="str">
        <x:v>Риск / исключить</x:v>
      </x:c>
      <x:c r="E160" s="29" t="n">
        <x:v>0</x:v>
      </x:c>
      <x:c r="F160" s="23" t="str">
        <x:v>0-59% - низкое / off-core</x:v>
      </x:c>
      <x:c r="G160" s="23" t="str">
        <x:v>open</x:v>
      </x:c>
      <x:c r="H160" s="23" t="str">
        <x:v>project</x:v>
      </x:c>
      <x:c r="I160" s="23" t="str">
        <x:v>Доработать программу для покера</x:v>
      </x:c>
      <x:c r="J160" s="23" t="str">
        <x:v>Автоматический бот для прибыльной игры в покер. Высокий риск нарушения правил и недобросовестного использования.</x:v>
      </x:c>
      <x:c r="K160" s="23" t="str">
        <x:v>Даже при техническом совпадении задача не подходит для первого безопасного оффера Kora.</x:v>
      </x:c>
      <x:c r="L160" s="23" t="str">
        <x:v>Этический, правовой или platform-policy риск. 26 ответов</x:v>
      </x:c>
      <x:c r="M160" s="23" t="str">
        <x:v>по договоренности</x:v>
      </x:c>
      <x:c r="N160" s="23" t="str">
        <x:v>не показано</x:v>
      </x:c>
      <x:c r="O160" s="26" t="n">
        <x:v>26</x:v>
      </x:c>
      <x:c r="P160" s="23" t="str">
        <x:v>не сохранено</x:v>
      </x:c>
      <x:c r="Q160" s="23" t="str">
        <x:v>RU</x:v>
      </x:c>
      <x:c r="R160" s="23" t="str">
        <x:v>https://www.fl.ru/projects/5514593/dorabotat-programmu-poker--ii.html</x:v>
      </x:c>
      <x:c r="S160" s="23" t="str">
        <x:v>Риск / исключить</x:v>
      </x:c>
      <x:c r="T160" s="23" t="str">
        <x:v>FL.ru AI category</x:v>
      </x:c>
    </x:row>
    <x:row r="161" ht="48" customHeight="1">
      <x:c r="A161" s="26" t="n">
        <x:v>157</x:v>
      </x:c>
      <x:c r="B161" s="23" t="str">
        <x:v>FL.ru</x:v>
      </x:c>
      <x:c r="C161" s="23" t="str">
        <x:v>5514284</x:v>
      </x:c>
      <x:c r="D161" s="23" t="str">
        <x:v>Риск / исключить</x:v>
      </x:c>
      <x:c r="E161" s="29" t="n">
        <x:v>0</x:v>
      </x:c>
      <x:c r="F161" s="23" t="str">
        <x:v>0-59% - низкое / off-core</x:v>
      </x:c>
      <x:c r="G161" s="23" t="str">
        <x:v>open</x:v>
      </x:c>
      <x:c r="H161" s="23" t="str">
        <x:v>project</x:v>
      </x:c>
      <x:c r="I161" s="23" t="str">
        <x:v>Записать песню на готовый текст</x:v>
      </x:c>
      <x:c r="J161" s="23" t="str">
        <x:v>Заказчик просит имитировать голос известной певицы.</x:v>
      </x:c>
      <x:c r="K161" s="23" t="str">
        <x:v>Даже при техническом совпадении задача не подходит для первого безопасного оффера Kora.</x:v>
      </x:c>
      <x:c r="L161" s="23" t="str">
        <x:v>Этический, правовой или platform-policy риск. 1 ответов</x:v>
      </x:c>
      <x:c r="M161" s="23" t="str">
        <x:v>по договоренности</x:v>
      </x:c>
      <x:c r="N161" s="23" t="str">
        <x:v>не показано</x:v>
      </x:c>
      <x:c r="O161" s="26" t="n">
        <x:v>1</x:v>
      </x:c>
      <x:c r="P161" s="23" t="str">
        <x:v>не сохранено</x:v>
      </x:c>
      <x:c r="Q161" s="23" t="str">
        <x:v>RU</x:v>
      </x:c>
      <x:c r="R161" s="23" t="str">
        <x:v>https://www.fl.ru/projects/5514284/zdravstvuyte-mne-nujno-zapisat-pesnyu-na-moy-gotovyiy-tekst.html</x:v>
      </x:c>
      <x:c r="S161" s="23" t="str">
        <x:v>Риск / исключить</x:v>
      </x:c>
      <x:c r="T161" s="23" t="str">
        <x:v>FL.ru AI category</x:v>
      </x:c>
    </x:row>
    <x:row r="162" ht="48" customHeight="1">
      <x:c r="A162" s="27" t="n">
        <x:v>158</x:v>
      </x:c>
      <x:c r="B162" s="24" t="str">
        <x:v>FL.ru</x:v>
      </x:c>
      <x:c r="C162" s="24" t="str">
        <x:v>5514239</x:v>
      </x:c>
      <x:c r="D162" s="24" t="str">
        <x:v>Общие, слабые или off-core</x:v>
      </x:c>
      <x:c r="E162" s="30" t="n">
        <x:v>0</x:v>
      </x:c>
      <x:c r="F162" s="24" t="str">
        <x:v>0-59% - низкое / off-core</x:v>
      </x:c>
      <x:c r="G162" s="24" t="str">
        <x:v>open</x:v>
      </x:c>
      <x:c r="H162" s="24" t="str">
        <x:v>vacancy</x:v>
      </x:c>
      <x:c r="I162" s="24" t="str">
        <x:v>Массажист / SPA-специалист</x:v>
      </x:c>
      <x:c r="J162" s="24" t="str">
        <x:v>Ложное попадание в AI-категорию.</x:v>
      </x:c>
      <x:c r="K162" s="24" t="str">
        <x:v>Частичное или слабое совпадение. Использовать только как дополнительный сигнал, не как приоритетный лид.</x:v>
      </x:c>
      <x:c r="L162" s="24" t="str">
        <x:v>Это вакансия, а не buyer project demand для Kora. 1 ответов</x:v>
      </x:c>
      <x:c r="M162" s="24" t="str">
        <x:v>70 000 ₽ - 120 000 ₽</x:v>
      </x:c>
      <x:c r="N162" s="24" t="str">
        <x:v>не показано</x:v>
      </x:c>
      <x:c r="O162" s="27" t="n">
        <x:v>1</x:v>
      </x:c>
      <x:c r="P162" s="24" t="str">
        <x:v>не сохранено</x:v>
      </x:c>
      <x:c r="Q162" s="24" t="str">
        <x:v>RU</x:v>
      </x:c>
      <x:c r="R162" s="24" t="str">
        <x:v>https://www.fl.ru/projects/5514239/massajist---spa-spetsialist.html</x:v>
      </x:c>
      <x:c r="S162" s="24" t="str">
        <x:v>Нерелевантно</x:v>
      </x:c>
      <x:c r="T162" s="24" t="str">
        <x:v>FL.ru AI category</x:v>
      </x:c>
    </x:row>
  </x:sheetData>
  <x:mergeCells>
    <x:mergeCell ref="A1:T2"/>
    <x:mergeCell ref="A3:T3"/>
  </x:mergeCells>
  <x:conditionalFormatting sqref="E5:E162">
    <x:cfRule type="cellIs" dxfId="0" priority="1" operator="greaterThanOrEqual">
      <x:formula>90</x:formula>
    </x:cfRule>
    <x:cfRule type="cellIs" dxfId="1" priority="2" operator="between">
      <x:formula>80</x:formula>
      <x:formula>89</x:formula>
    </x:cfRule>
    <x:cfRule type="cellIs" dxfId="2" priority="3" operator="between">
      <x:formula>70</x:formula>
      <x:formula>79</x:formula>
    </x:cfRule>
    <x:cfRule type="cellIs" dxfId="3" priority="4" operator="lessThan">
      <x:formula>70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e61529bd6443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3" hidden="0" customWidth="1"/>
    <x:col min="4" max="4" width="27" hidden="0" customWidth="1"/>
    <x:col min="5" max="5" width="9" hidden="0" customWidth="1"/>
    <x:col min="6" max="6" width="25" hidden="0" customWidth="1"/>
    <x:col min="7" max="7" width="18" hidden="0" customWidth="1"/>
    <x:col min="8" max="8" width="14" hidden="0" customWidth="1"/>
    <x:col min="9" max="9" width="38" hidden="0" customWidth="1"/>
    <x:col min="10" max="10" width="58" hidden="0" customWidth="1"/>
    <x:col min="11" max="11" width="54" hidden="0" customWidth="1"/>
    <x:col min="12" max="12" width="50" hidden="0" customWidth="1"/>
    <x:col min="13" max="13" width="18" hidden="0" customWidth="1"/>
    <x:col min="14" max="14" width="22" hidden="0" customWidth="1"/>
    <x:col min="15" max="15" width="14" hidden="0" customWidth="1"/>
    <x:col min="16" max="16" width="16" hidden="0" customWidth="1"/>
    <x:col min="17" max="17" width="18" hidden="0" customWidth="1"/>
    <x:col min="18" max="18" width="54" hidden="0" customWidth="1"/>
    <x:col min="19" max="19" width="31" hidden="0" customWidth="1"/>
    <x:col min="20" max="20" width="28" hidden="0" customWidth="1"/>
  </x:cols>
  <x:sheetData>
    <x:row r="1" ht="24" customHeight="1">
      <x:c r="A1" s="4" t="str">
        <x:v>Upwork: 100 задач с кратким описанием и метчем</x:v>
      </x:c>
      <x:c r="B1" s="4" t="str">
        <x:v>Upwork: 100 задач с кратким описанием и метчем</x:v>
      </x:c>
      <x:c r="C1" s="4" t="str">
        <x:v>Upwork: 100 задач с кратким описанием и метчем</x:v>
      </x:c>
      <x:c r="D1" s="4" t="str">
        <x:v>Upwork: 100 задач с кратким описанием и метчем</x:v>
      </x:c>
      <x:c r="E1" s="4" t="str">
        <x:v>Upwork: 100 задач с кратким описанием и метчем</x:v>
      </x:c>
      <x:c r="F1" s="4" t="str">
        <x:v>Upwork: 100 задач с кратким описанием и метчем</x:v>
      </x:c>
      <x:c r="G1" s="4" t="str">
        <x:v>Upwork: 100 задач с кратким описанием и метчем</x:v>
      </x:c>
      <x:c r="H1" s="4" t="str">
        <x:v>Upwork: 100 задач с кратким описанием и метчем</x:v>
      </x:c>
      <x:c r="I1" s="4" t="str">
        <x:v>Upwork: 100 задач с кратким описанием и метчем</x:v>
      </x:c>
      <x:c r="J1" s="4" t="str">
        <x:v>Upwork: 100 задач с кратким описанием и метчем</x:v>
      </x:c>
      <x:c r="K1" s="4" t="str">
        <x:v>Upwork: 100 задач с кратким описанием и метчем</x:v>
      </x:c>
      <x:c r="L1" s="4" t="str">
        <x:v>Upwork: 100 задач с кратким описанием и метчем</x:v>
      </x:c>
      <x:c r="M1" s="4" t="str">
        <x:v>Upwork: 100 задач с кратким описанием и метчем</x:v>
      </x:c>
      <x:c r="N1" s="4" t="str">
        <x:v>Upwork: 100 задач с кратким описанием и метчем</x:v>
      </x:c>
      <x:c r="O1" s="4" t="str">
        <x:v>Upwork: 100 задач с кратким описанием и метчем</x:v>
      </x:c>
      <x:c r="P1" s="4" t="str">
        <x:v>Upwork: 100 задач с кратким описанием и метчем</x:v>
      </x:c>
      <x:c r="Q1" s="4" t="str">
        <x:v>Upwork: 100 задач с кратким описанием и метчем</x:v>
      </x:c>
      <x:c r="R1" s="4" t="str">
        <x:v>Upwork: 100 задач с кратким описанием и метчем</x:v>
      </x:c>
      <x:c r="S1" s="4" t="str">
        <x:v>Upwork: 100 задач с кратким описанием и метчем</x:v>
      </x:c>
      <x:c r="T1" s="4" t="str">
        <x:v>Upwork: 100 задач с кратким описанием и метчем</x:v>
      </x:c>
    </x:row>
    <x:row r="2" ht="24" customHeight="1">
      <x:c r="A2" s="4" t="str">
        <x:v>Upwork: 100 задач с кратким описанием и метчем</x:v>
      </x:c>
      <x:c r="B2" s="4" t="str">
        <x:v>Upwork: 100 задач с кратким описанием и метчем</x:v>
      </x:c>
      <x:c r="C2" s="4" t="str">
        <x:v>Upwork: 100 задач с кратким описанием и метчем</x:v>
      </x:c>
      <x:c r="D2" s="4" t="str">
        <x:v>Upwork: 100 задач с кратким описанием и метчем</x:v>
      </x:c>
      <x:c r="E2" s="4" t="str">
        <x:v>Upwork: 100 задач с кратким описанием и метчем</x:v>
      </x:c>
      <x:c r="F2" s="4" t="str">
        <x:v>Upwork: 100 задач с кратким описанием и метчем</x:v>
      </x:c>
      <x:c r="G2" s="4" t="str">
        <x:v>Upwork: 100 задач с кратким описанием и метчем</x:v>
      </x:c>
      <x:c r="H2" s="4" t="str">
        <x:v>Upwork: 100 задач с кратким описанием и метчем</x:v>
      </x:c>
      <x:c r="I2" s="4" t="str">
        <x:v>Upwork: 100 задач с кратким описанием и метчем</x:v>
      </x:c>
      <x:c r="J2" s="4" t="str">
        <x:v>Upwork: 100 задач с кратким описанием и метчем</x:v>
      </x:c>
      <x:c r="K2" s="4" t="str">
        <x:v>Upwork: 100 задач с кратким описанием и метчем</x:v>
      </x:c>
      <x:c r="L2" s="4" t="str">
        <x:v>Upwork: 100 задач с кратким описанием и метчем</x:v>
      </x:c>
      <x:c r="M2" s="4" t="str">
        <x:v>Upwork: 100 задач с кратким описанием и метчем</x:v>
      </x:c>
      <x:c r="N2" s="4" t="str">
        <x:v>Upwork: 100 задач с кратким описанием и метчем</x:v>
      </x:c>
      <x:c r="O2" s="4" t="str">
        <x:v>Upwork: 100 задач с кратким описанием и метчем</x:v>
      </x:c>
      <x:c r="P2" s="4" t="str">
        <x:v>Upwork: 100 задач с кратким описанием и метчем</x:v>
      </x:c>
      <x:c r="Q2" s="4" t="str">
        <x:v>Upwork: 100 задач с кратким описанием и метчем</x:v>
      </x:c>
      <x:c r="R2" s="4" t="str">
        <x:v>Upwork: 100 задач с кратким описанием и метчем</x:v>
      </x:c>
      <x:c r="S2" s="4" t="str">
        <x:v>Upwork: 100 задач с кратким описанием и метчем</x:v>
      </x:c>
      <x:c r="T2" s="4" t="str">
        <x:v>Upwork: 100 задач с кратким описанием и метчем</x:v>
      </x:c>
    </x:row>
    <x:row r="3" ht="34" customHeight="1">
      <x:c r="A3" s="9" t="str">
        <x:v>Все 100 уникальных карточек из Best Matches и поиска. Метч для Давида - общая редакционная оценка; высокий score может сочетаться с 50+ конкурентами.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</x:row>
    <x:row r="4" ht="36" customHeight="1">
      <x:c r="A4" s="14" t="str">
        <x:v>Ранг</x:v>
      </x:c>
      <x:c r="B4" s="14" t="str">
        <x:v>Платформа</x:v>
      </x:c>
      <x:c r="C4" s="14" t="str">
        <x:v>ID</x:v>
      </x:c>
      <x:c r="D4" s="14" t="str">
        <x:v>Категория</x:v>
      </x:c>
      <x:c r="E4" s="14" t="str">
        <x:v>Метч для Давида</x:v>
      </x:c>
      <x:c r="F4" s="14" t="str">
        <x:v>Метод / уровень</x:v>
      </x:c>
      <x:c r="G4" s="14" t="str">
        <x:v>Статус</x:v>
      </x:c>
      <x:c r="H4" s="14" t="str">
        <x:v>Тип</x:v>
      </x:c>
      <x:c r="I4" s="14" t="str">
        <x:v>Задача</x:v>
      </x:c>
      <x:c r="J4" s="14" t="str">
        <x:v>Краткое описание</x:v>
      </x:c>
      <x:c r="K4" s="14" t="str">
        <x:v>Почему подходит</x:v>
      </x:c>
      <x:c r="L4" s="14" t="str">
        <x:v>Пробелы и риски</x:v>
      </x:c>
      <x:c r="M4" s="14" t="str">
        <x:v>Бюджет / ставка</x:v>
      </x:c>
      <x:c r="N4" s="14" t="str">
        <x:v>Статус оплаты</x:v>
      </x:c>
      <x:c r="O4" s="14" t="str">
        <x:v>Конкуренция</x:v>
      </x:c>
      <x:c r="P4" s="14" t="str">
        <x:v>Опубликовано</x:v>
      </x:c>
      <x:c r="Q4" s="14" t="str">
        <x:v>Страна</x:v>
      </x:c>
      <x:c r="R4" s="14" t="str">
        <x:v>Ссылка</x:v>
      </x:c>
      <x:c r="S4" s="14" t="str">
        <x:v>Исходная категория</x:v>
      </x:c>
      <x:c r="T4" s="14" t="str">
        <x:v>Источник</x:v>
      </x:c>
    </x:row>
    <x:row r="5" ht="48" customHeight="1">
      <x:c r="A5" s="25" t="n">
        <x:v>1</x:v>
      </x:c>
      <x:c r="B5" s="22" t="str">
        <x:v>Upwork</x:v>
      </x:c>
      <x:c r="C5" s="22" t="str">
        <x:v>~022079500683280398086</x:v>
      </x:c>
      <x:c r="D5" s="22" t="str">
        <x:v>Автоматизация процессов и интеграции</x:v>
      </x:c>
      <x:c r="E5" s="28" t="n">
        <x:v>95</x:v>
      </x:c>
      <x:c r="F5" s="22" t="str">
        <x:v>95-99% - почти идеальное</x:v>
      </x:c>
      <x:c r="G5" s="22" t="str">
        <x:v>captured - recheck</x:v>
      </x:c>
      <x:c r="H5" s="22" t="str">
        <x:v>hourly</x:v>
      </x:c>
      <x:c r="I5" s="22" t="str">
        <x:v>Agentic AI Automation Engineer</x:v>
      </x:c>
      <x:c r="J5" s="22" t="str">
        <x:v>Нужно превратить ручной прием лидов, обновление CRM и follow-up в надежный агентный процесс: получить данные из формы, email или Slack, извлечь и классифицировать их, обновить CRM, отправить сводку и передать сомнительные случаи человеку. В MVP нужны n8n или аналоги, API, RAG, логи, повторные попытки и guardrails.</x:v>
      </x:c>
      <x:c r="K5" s="22" t="str">
        <x:v>Почти идеальное совпадение с Kora: TypeScript допустим, прямо требуются AI-агенты, OpenAI или Claude, n8n, API, RAG, human-in-the-loop и production-надежность. Задача хорошо описана, ставка $40-75/час, клиент подтвердил оплату и имеет историю.</x:v>
      </x:c>
      <x:c r="L5" s="22" t="str">
        <x:v>Нужно показать 2-3 реально запущенных похожих проекта; уже 50+ откликов. В метаданных указано 30+ часов в неделю, а в описании 10-20, это стоит уточнить.</x:v>
      </x:c>
      <x:c r="M5" s="22" t="str">
        <x:v>Hourly: $40.00 - $75.00</x:v>
      </x:c>
      <x:c r="N5" s="22" t="str">
        <x:v>verified</x:v>
      </x:c>
      <x:c r="O5" s="25" t="str">
        <x:v>50+</x:v>
      </x:c>
      <x:c r="P5" s="22" t="str">
        <x:v>last week</x:v>
      </x:c>
      <x:c r="Q5" s="22" t="str">
        <x:v>United Arab Emirates</x:v>
      </x:c>
      <x:c r="R5" s="22" t="str">
        <x:v>https://www.upwork.com/jobs/span-class-highlight-Agentic-span-span-class-highlight-span-span-class-highlight-Automation-span-Engineer_~022079500683280398086/?referrer_url_path=/nx/search/jobs/</x:v>
      </x:c>
      <x:c r="S5" s="22" t="str">
        <x:v>Автоматизация процессов и интеграции</x:v>
      </x:c>
      <x:c r="T5" s="22" t="str">
        <x:v>search:AI agent automation:page4</x:v>
      </x:c>
    </x:row>
    <x:row r="6" ht="48" customHeight="1">
      <x:c r="A6" s="26" t="n">
        <x:v>2</x:v>
      </x:c>
      <x:c r="B6" s="23" t="str">
        <x:v>Upwork</x:v>
      </x:c>
      <x:c r="C6" s="23" t="str">
        <x:v>~022082094672185738150</x:v>
      </x:c>
      <x:c r="D6" s="23" t="str">
        <x:v>Автоматизация процессов и интеграции</x:v>
      </x:c>
      <x:c r="E6" s="29" t="n">
        <x:v>95</x:v>
      </x:c>
      <x:c r="F6" s="23" t="str">
        <x:v>95-99% - почти идеальное</x:v>
      </x:c>
      <x:c r="G6" s="23" t="str">
        <x:v>captured - recheck</x:v>
      </x:c>
      <x:c r="H6" s="23" t="str">
        <x:v>hourly</x:v>
      </x:c>
      <x:c r="I6" s="23" t="str">
        <x:v>AI Agent / CRM System Setup</x:v>
      </x:c>
      <x:c r="J6" s="23" t="str">
        <x:v>Нужно автоматизировать follow-up отдела развития через Gmail, Monday и Slack: отслеживать ответы, классифицировать их с помощью AI, хранить историю и следующий контакт, а затем присылать ответственным напоминание, резюме и черновик письма. Система должна исключать дубли и контакты с запретом дальнейшего общения.</x:v>
      </x:c>
      <x:c r="K6" s="23" t="str">
        <x:v>Практически идеальное совпадение с Kora: входящие коммуникации, AI-классификация, CRM-состояние, правила, напоминания и подготовка действия для человека. Scope конкретный, клиент подтвержден, рейтинг 4,9 и более $60K расходов.</x:v>
      </x:c>
      <x:c r="L6" s="23" t="str">
        <x:v>Уже 50+ предложений, а ставка ограничена $22-$29. Не указан текущий способ интеграции Gmail, Monday и Slack, поэтому доступы, лимиты API и точный объем придется уточнить.</x:v>
      </x:c>
      <x:c r="M6" s="23" t="str">
        <x:v>Hourly: $22-$29</x:v>
      </x:c>
      <x:c r="N6" s="23" t="str">
        <x:v>verified</x:v>
      </x:c>
      <x:c r="O6" s="26" t="str">
        <x:v>50+</x:v>
      </x:c>
      <x:c r="P6" s="23" t="str">
        <x:v>4 hours ago</x:v>
      </x:c>
      <x:c r="Q6" s="23" t="str">
        <x:v>United Kingdom</x:v>
      </x:c>
      <x:c r="R6" s="23" t="str">
        <x:v>https://www.upwork.com/jobs/Agent-CRM-System-Setup_~022082094672185738150/?referrer_url_path=find_work_home</x:v>
      </x:c>
      <x:c r="S6" s="23" t="str">
        <x:v>Автоматизация процессов и интеграции</x:v>
      </x:c>
      <x:c r="T6" s="23" t="str">
        <x:v>best_matches</x:v>
      </x:c>
    </x:row>
    <x:row r="7" ht="48" customHeight="1">
      <x:c r="A7" s="26" t="n">
        <x:v>3</x:v>
      </x:c>
      <x:c r="B7" s="23" t="str">
        <x:v>Upwork</x:v>
      </x:c>
      <x:c r="C7" s="23" t="str">
        <x:v>~022069443845701876220</x:v>
      </x:c>
      <x:c r="D7" s="23" t="str">
        <x:v>Чат-боты, поддержка и CRM</x:v>
      </x:c>
      <x:c r="E7" s="29" t="n">
        <x:v>95</x:v>
      </x:c>
      <x:c r="F7" s="23" t="str">
        <x:v>95-99% - почти идеальное</x:v>
      </x:c>
      <x:c r="G7" s="23" t="str">
        <x:v>captured - recheck</x:v>
      </x:c>
      <x:c r="H7" s="23" t="str">
        <x:v>hourly</x:v>
      </x:c>
      <x:c r="I7" s="23" t="str">
        <x:v>AI Automation Engineer: Build a Custom Claude Customer Service Agent</x:v>
      </x:c>
      <x:c r="J7" s="23" t="str">
        <x:v>Нужно создать production-агента поддержки на Claude, который понимает стиль команды, отвечает клиентам, работает с файлами и внутренними знаниями, отправляет email, взаимодействует с CRM и выполняет разрешенные workflow. Для чувствительных действий требуются MCP, контекст, эскалация и human-in-the-loop.</x:v>
      </x:c>
      <x:c r="K7" s="23" t="str">
        <x:v>Практически идеальное совпадение с Kora по Claude, MCP, tool use, CRM, knowledge retrieval, сообщениям, действиям и обязательному согласованию человеком. Scope конкретен, ставка $40-80, клиент подтвержден с рейтингом 5 и расходами свыше $3K.</x:v>
      </x:c>
      <x:c r="L7" s="23" t="str">
        <x:v>Заказчик требует доказанные production-кейсы клиентских коммуникаций и опыт MCP или автономных tool-use агентов. Уже подано более 50 заявок, поэтому потребуется очень предметный кейс и позиционирование.</x:v>
      </x:c>
      <x:c r="M7" s="23" t="str">
        <x:v>Hourly: $40.00 - $80.00</x:v>
      </x:c>
      <x:c r="N7" s="23" t="str">
        <x:v>verified</x:v>
      </x:c>
      <x:c r="O7" s="26" t="str">
        <x:v>50+</x:v>
      </x:c>
      <x:c r="P7" s="23" t="str">
        <x:v>last month</x:v>
      </x:c>
      <x:c r="Q7" s="23" t="str">
        <x:v>United Kingdom</x:v>
      </x:c>
      <x:c r="R7" s="23" t="str">
        <x:v>https://www.upwork.com/jobs/span-class-highlight-span-span-class-highlight-Automation-span-Engineer-Build-Custom-Claude-Customer-Service-span-class-highlight-Agent-span_~022069443845701876220/?referrer_url_path=/nx/search/jobs/</x:v>
      </x:c>
      <x:c r="S7" s="23" t="str">
        <x:v>Чат-боты, поддержка и CRM</x:v>
      </x:c>
      <x:c r="T7" s="23" t="str">
        <x:v>search:AI agent automation:page3</x:v>
      </x:c>
    </x:row>
    <x:row r="8" ht="48" customHeight="1">
      <x:c r="A8" s="26" t="n">
        <x:v>4</x:v>
      </x:c>
      <x:c r="B8" s="23" t="str">
        <x:v>Upwork</x:v>
      </x:c>
      <x:c r="C8" s="23" t="str">
        <x:v>~022075311922210730379</x:v>
      </x:c>
      <x:c r="D8" s="23" t="str">
        <x:v>AI-агенты и оркестрация</x:v>
      </x:c>
      <x:c r="E8" s="29" t="n">
        <x:v>90</x:v>
      </x:c>
      <x:c r="F8" s="23" t="str">
        <x:v>90-94% - очень сильное</x:v>
      </x:c>
      <x:c r="G8" s="23" t="str">
        <x:v>captured - recheck</x:v>
      </x:c>
      <x:c r="H8" s="23" t="str">
        <x:v>hourly</x:v>
      </x:c>
      <x:c r="I8" s="23" t="str">
        <x:v>AI Automation Engineer — Build One Business-Ops AI Agent (Claude + n8n, RAG)</x:v>
      </x:c>
      <x:c r="J8" s="23" t="str">
        <x:v>Нужно сделать один ограниченный внутренний AI-агент, который каждое утро читает CRM и Google Sheets, использует RAG по внутренним документам и отправляет в Slack приоритетный список действий. Решение собирается на Claude и n8n, без автономных действий и с короткой документацией.</x:v>
      </x:c>
      <x:c r="K8" s="23" t="str">
        <x:v>Очень сильное совпадение по Claude, RAG, n8n, бизнес-приоритизации и review step; требование Python снижает fit относительно текущего Node/TypeScript evidence.</x:v>
      </x:c>
      <x:c r="L8" s="23" t="str">
        <x:v>Нужен убедительный живой пример, в требованиях указан Python, а у объявления уже 50+ предложений; необходимо подтвердить конкретную CRM и объем документов.</x:v>
      </x:c>
      <x:c r="M8" s="23" t="str">
        <x:v>Hourly: $20.00 - $30.00</x:v>
      </x:c>
      <x:c r="N8" s="23" t="str">
        <x:v>verified</x:v>
      </x:c>
      <x:c r="O8" s="26" t="str">
        <x:v>50+</x:v>
      </x:c>
      <x:c r="P8" s="23" t="str">
        <x:v>3 weeks ago</x:v>
      </x:c>
      <x:c r="Q8" s="23" t="str">
        <x:v>United Kingdom</x:v>
      </x:c>
      <x:c r="R8" s="23" t="str">
        <x:v>https://www.upwork.com/jobs/span-class-highlight-span-span-class-highlight-Automation-span-Engineer-Build-One-Business-Ops-span-class-highlight-span-span-class-highlight-Agent-span-Claude-n8n-RAG_~022075311922210730379/?referrer_url_path=/nx/search/jobs/</x:v>
      </x:c>
      <x:c r="S8" s="23" t="str">
        <x:v>AI-агенты и оркестрация</x:v>
      </x:c>
      <x:c r="T8" s="23" t="str">
        <x:v>search:AI agent automation:page7</x:v>
      </x:c>
    </x:row>
    <x:row r="9" ht="48" customHeight="1">
      <x:c r="A9" s="26" t="n">
        <x:v>5</x:v>
      </x:c>
      <x:c r="B9" s="23" t="str">
        <x:v>Upwork</x:v>
      </x:c>
      <x:c r="C9" s="23" t="str">
        <x:v>~022080272851686168921</x:v>
      </x:c>
      <x:c r="D9" s="23" t="str">
        <x:v>Автоматизация процессов и интеграции</x:v>
      </x:c>
      <x:c r="E9" s="29" t="n">
        <x:v>90</x:v>
      </x:c>
      <x:c r="F9" s="23" t="str">
        <x:v>90-94% - очень сильное</x:v>
      </x:c>
      <x:c r="G9" s="23" t="str">
        <x:v>captured - recheck</x:v>
      </x:c>
      <x:c r="H9" s="23" t="str">
        <x:v>не указано</x:v>
      </x:c>
      <x:c r="I9" s="23" t="str">
        <x:v>AI Agent Developer for Field Service Operations Automation</x:v>
      </x:c>
      <x:c r="J9" s="23" t="str">
        <x:v>Нужен внутренний агент для field service: читать email и формы, определять тип, срочность и локацию заявки, обновлять CRM, подбирать время и специалиста, готовить ответы, напоминать и эскалировать риски. Первый этап включает admin-интерфейс, human approval, журналы, мониторинг и учет стоимости.</x:v>
      </x:c>
      <x:c r="K9" s="23" t="str">
        <x:v>Это почти точное попадание в Kora: входящие сообщения, структурированное извлечение, бизнес-правила, CRM и календарь, черновики, подтверждение человеком, исключения и аудит. Клиент подтвержден, имеет рейтинг 5 и расходы свыше $30K.</x:v>
      </x:c>
      <x:c r="L9" s="23" t="str">
        <x:v>Нужно показать аналогичные production-системы и надежную защиту от ошибочных записей и назначений. Фиксированный бюджет $550 выглядит низким для всего Phase 1, а конкуренция превышает 50 заявок.</x:v>
      </x:c>
      <x:c r="M9" s="23" t="str">
        <x:v>$550.00</x:v>
      </x:c>
      <x:c r="N9" s="23" t="str">
        <x:v>verified</x:v>
      </x:c>
      <x:c r="O9" s="26" t="str">
        <x:v>50+</x:v>
      </x:c>
      <x:c r="P9" s="23" t="str">
        <x:v>5 days ago</x:v>
      </x:c>
      <x:c r="Q9" s="23" t="str">
        <x:v>AUS</x:v>
      </x:c>
      <x:c r="R9" s="23" t="str">
        <x:v>https://www.upwork.com/jobs/span-class-highlight-span-span-class-highlight-Agent-span-Developer-for-Field-Service-Operations-span-class-highlight-Automation-span_~022080272851686168921/?referrer_url_path=/nx/search/jobs/</x:v>
      </x:c>
      <x:c r="S9" s="23" t="str">
        <x:v>Автоматизация процессов и интеграции</x:v>
      </x:c>
      <x:c r="T9" s="23" t="str">
        <x:v>search:AI agent automation:page3</x:v>
      </x:c>
    </x:row>
    <x:row r="10" ht="48" customHeight="1">
      <x:c r="A10" s="26" t="n">
        <x:v>6</x:v>
      </x:c>
      <x:c r="B10" s="23" t="str">
        <x:v>Upwork</x:v>
      </x:c>
      <x:c r="C10" s="23" t="str">
        <x:v>~022072822607808092445</x:v>
      </x:c>
      <x:c r="D10" s="23" t="str">
        <x:v>AI-агенты и оркестрация</x:v>
      </x:c>
      <x:c r="E10" s="29" t="n">
        <x:v>90</x:v>
      </x:c>
      <x:c r="F10" s="23" t="str">
        <x:v>90-94% - очень сильное</x:v>
      </x:c>
      <x:c r="G10" s="23" t="str">
        <x:v>captured - recheck</x:v>
      </x:c>
      <x:c r="H10" s="23" t="str">
        <x:v>hourly</x:v>
      </x:c>
      <x:c r="I10" s="23" t="str">
        <x:v>AI agents</x:v>
      </x:c>
      <x:c r="J10" s="23" t="str">
        <x:v>Агентству нужна структура из координатора и специализированных агентов вокруг Monday.com, Salesforce, Gmail и Make: контроль ответов и follow-up, создание PO, intake и triage, подбор подрядчиков, генерация и проверка макетов, анализ фотографий и QC. Заказчик просит отдельно оценить каждый workflow, dashboard, архитектуру, сроки, подписки и поддержку.</x:v>
      </x:c>
      <x:c r="K10" s="23" t="str">
        <x:v>Email, CRM, Make, классификация входящих, автоматические действия, эскалации и набор модульных агентов очень близки к Kora и хорошо разбиваются на переиспользуемые пилоты. Клиент особенно сильный: рейтинг 4.9, более $100000 расходов и ставка $30-60/час.</x:v>
      </x:c>
      <x:c r="L10" s="23" t="str">
        <x:v>Полный список слишком велик для одного этапа и включает computer vision и генерацию изображений, где нужны дополнительные компетенции. Следует предлагать один операционный модуль первым; откликов 50+.</x:v>
      </x:c>
      <x:c r="M10" s="23" t="str">
        <x:v>Hourly: $30.00 - $60.00</x:v>
      </x:c>
      <x:c r="N10" s="23" t="str">
        <x:v>verified</x:v>
      </x:c>
      <x:c r="O10" s="26" t="str">
        <x:v>50+</x:v>
      </x:c>
      <x:c r="P10" s="23" t="str">
        <x:v>4 weeks ago</x:v>
      </x:c>
      <x:c r="Q10" s="23" t="str">
        <x:v>United States</x:v>
      </x:c>
      <x:c r="R10" s="23" t="str">
        <x:v>https://www.upwork.com/jobs/span-class-highlight-span-span-class-highlight-agents-span_~022072822607808092445/?referrer_url_path=/nx/search/jobs/</x:v>
      </x:c>
      <x:c r="S10" s="23" t="str">
        <x:v>AI-агенты и оркестрация</x:v>
      </x:c>
      <x:c r="T10" s="23" t="str">
        <x:v>search:AI agent automation:page6</x:v>
      </x:c>
    </x:row>
    <x:row r="11" ht="48" customHeight="1">
      <x:c r="A11" s="26" t="n">
        <x:v>7</x:v>
      </x:c>
      <x:c r="B11" s="23" t="str">
        <x:v>Upwork</x:v>
      </x:c>
      <x:c r="C11" s="23" t="str">
        <x:v>~022080711922231636555</x:v>
      </x:c>
      <x:c r="D11" s="23" t="str">
        <x:v>Автоматизация процессов и интеграции</x:v>
      </x:c>
      <x:c r="E11" s="29" t="n">
        <x:v>90</x:v>
      </x:c>
      <x:c r="F11" s="23" t="str">
        <x:v>90-94% - очень сильное</x:v>
      </x:c>
      <x:c r="G11" s="23" t="str">
        <x:v>captured - recheck</x:v>
      </x:c>
      <x:c r="H11" s="23" t="str">
        <x:v>hourly</x:v>
      </x:c>
      <x:c r="I11" s="23" t="str">
        <x:v>AI Automation &amp; Agent Specialist (Claude / GPT) for Retail/E-Commerce Brand</x:v>
      </x:c>
      <x:c r="J11" s="23" t="str">
        <x:v>Retail и e-commerce бизнес ищет долгосрочного инженера для автоматизации повторяющихся операций и интеграции Shopify, Klaviyo, HubSpot, Google и Meta. Нужны внутренние и клиентские агенты, отчеты, документы, надежная эксплуатация и переход от no-code к Python или JavaScript при необходимости.</x:v>
      </x:c>
      <x:c r="K11" s="23" t="str">
        <x:v>Почти полное совпадение по Claude и OpenAI, агентам, API, n8n или Make, JavaScript, MCP, function calling и требованию надежности. Клиент подтвержден, имеет рейтинг 5, расходы свыше $60K и предлагает небольшой оплачиваемый тест с продолжением.</x:v>
      </x:c>
      <x:c r="L11" s="23" t="str">
        <x:v>Нужно показать измеримый результат ранее запущенной бизнес-автоматизации и желательно опыт Shopify, Klaviyo или HubSpot. Роль требует 30+ часов в неделю, уже подано более 50 заявок.</x:v>
      </x:c>
      <x:c r="M11" s="23" t="str">
        <x:v>Hourly: $25.00 - $100.00</x:v>
      </x:c>
      <x:c r="N11" s="23" t="str">
        <x:v>verified</x:v>
      </x:c>
      <x:c r="O11" s="26" t="str">
        <x:v>50+</x:v>
      </x:c>
      <x:c r="P11" s="23" t="str">
        <x:v>4 days ago</x:v>
      </x:c>
      <x:c r="Q11" s="23" t="str">
        <x:v>United States</x:v>
      </x:c>
      <x:c r="R11" s="23" t="str">
        <x:v>https://www.upwork.com/jobs/span-class-highlight-span-span-class-highlight-Automation-span-amp-span-class-highlight-Agent-span-Specialist-Claude-GPT-for-Retail-Commerce-Brand_~022080711922231636555/?referrer_url_path=/nx/search/jobs/</x:v>
      </x:c>
      <x:c r="S11" s="23" t="str">
        <x:v>Автоматизация процессов и интеграции</x:v>
      </x:c>
      <x:c r="T11" s="23" t="str">
        <x:v>search:AI agent automation:page4</x:v>
      </x:c>
    </x:row>
    <x:row r="12" ht="48" customHeight="1">
      <x:c r="A12" s="26" t="n">
        <x:v>8</x:v>
      </x:c>
      <x:c r="B12" s="23" t="str">
        <x:v>Upwork</x:v>
      </x:c>
      <x:c r="C12" s="23" t="str">
        <x:v>~022081957032774069874</x:v>
      </x:c>
      <x:c r="D12" s="23" t="str">
        <x:v>Чат-боты, поддержка и CRM</x:v>
      </x:c>
      <x:c r="E12" s="29" t="n">
        <x:v>90</x:v>
      </x:c>
      <x:c r="F12" s="23" t="str">
        <x:v>90-94% - очень сильное</x:v>
      </x:c>
      <x:c r="G12" s="23" t="str">
        <x:v>captured - recheck</x:v>
      </x:c>
      <x:c r="H12" s="23" t="str">
        <x:v>hourly</x:v>
      </x:c>
      <x:c r="I12" s="23" t="str">
        <x:v>AI Automation Developer – Gmail, OpenAI &amp; SMS</x:v>
      </x:c>
      <x:c r="J12" s="23" t="str">
        <x:v>Управляющей компании нужен leasing assistant, который читает новые заявки в Gmail, отвечает по email и SMS через Whippy, использует OpenAI для типовых вопросов, предварительно квалифицирует арендаторов, планирует показы в Google Calendar и журналирует коммуникации. Это заявлено как первый из нескольких проектов автоматизации.</x:v>
      </x:c>
      <x:c r="K12" s="23" t="str">
        <x:v>Входящие обращения, AI-ответы, pre-screening, календарь, API, webhooks и workflow automation почти точно соответствуют продуктовой механике Kora. Клиент подтвердил оплату и потратил более $20K, а scope ограничен сроком менее месяца.</x:v>
      </x:c>
      <x:c r="L12" s="23" t="str">
        <x:v>Рейтинг клиента 3,5, ставка $15-$35 и уже 50+ предложений. Автоматическая квалификация арендаторов затрагивает персональные данные и потенциально чувствительные решения, поэтому нужны четкие правила и human review.</x:v>
      </x:c>
      <x:c r="M12" s="23" t="str">
        <x:v>Hourly: $15-$35</x:v>
      </x:c>
      <x:c r="N12" s="23" t="str">
        <x:v>verified</x:v>
      </x:c>
      <x:c r="O12" s="26" t="str">
        <x:v>50+</x:v>
      </x:c>
      <x:c r="P12" s="23" t="str">
        <x:v>13 hours ago</x:v>
      </x:c>
      <x:c r="Q12" s="23" t="str">
        <x:v>United States</x:v>
      </x:c>
      <x:c r="R12" s="23" t="str">
        <x:v>https://www.upwork.com/jobs/Automation-Developer-Gmail-OpenAI-SMS_~022081957032774069874/?referrer_url_path=find_work_home</x:v>
      </x:c>
      <x:c r="S12" s="23" t="str">
        <x:v>Чат-боты, поддержка и CRM</x:v>
      </x:c>
      <x:c r="T12" s="23" t="str">
        <x:v>best_matches</x:v>
      </x:c>
    </x:row>
    <x:row r="13" ht="48" customHeight="1">
      <x:c r="A13" s="26" t="n">
        <x:v>9</x:v>
      </x:c>
      <x:c r="B13" s="23" t="str">
        <x:v>Upwork</x:v>
      </x:c>
      <x:c r="C13" s="23" t="str">
        <x:v>~022078457357601915344</x:v>
      </x:c>
      <x:c r="D13" s="23" t="str">
        <x:v>AI-агенты и оркестрация</x:v>
      </x:c>
      <x:c r="E13" s="29" t="n">
        <x:v>90</x:v>
      </x:c>
      <x:c r="F13" s="23" t="str">
        <x:v>90-94% - очень сильное</x:v>
      </x:c>
      <x:c r="G13" s="23" t="str">
        <x:v>captured - recheck</x:v>
      </x:c>
      <x:c r="H13" s="23" t="str">
        <x:v>hourly</x:v>
      </x:c>
      <x:c r="I13" s="23" t="str">
        <x:v>AI Automation Engineer (Long-Term)</x:v>
      </x:c>
      <x:c r="J13" s="23" t="str">
        <x:v>Компания хочет долгосрочно автоматизировать почтовые ящики, счета и оценки, QuickBooks, собственную CRM, браузерные процессы, документы, исследования и сбор данных. В перспективе центральный AI-ассистент должен координировать специализированные автоматизации.</x:v>
      </x:c>
      <x:c r="K13" s="23" t="str">
        <x:v>Очень сильное совпадение по агентной платформе, документам, CRM, API, браузерной автоматизации, модульности и долгосрочному переходу от отдельных workflow к оркестратору. Клиент подтвержден, имеет рейтинг 5 и расходы свыше $60K.</x:v>
      </x:c>
      <x:c r="L13" s="23" t="str">
        <x:v>Начальный use case не выбран, поэтому сначала потребуется discovery и жесткое разделение на этапы. Нет видимой ставки, а конкуренция превышает 50 заявок.</x:v>
      </x:c>
      <x:c r="M13" s="23" t="str">
        <x:v>Hourly</x:v>
      </x:c>
      <x:c r="N13" s="23" t="str">
        <x:v>verified</x:v>
      </x:c>
      <x:c r="O13" s="26" t="str">
        <x:v>50+</x:v>
      </x:c>
      <x:c r="P13" s="23" t="str">
        <x:v>2 weeks ago</x:v>
      </x:c>
      <x:c r="Q13" s="23" t="str">
        <x:v>United States</x:v>
      </x:c>
      <x:c r="R13" s="23" t="str">
        <x:v>https://www.upwork.com/jobs/span-class-highlight-span-span-class-highlight-Automation-span-Engineer-Long-Term_~022078457357601915344/?referrer_url_path=/nx/search/jobs/</x:v>
      </x:c>
      <x:c r="S13" s="23" t="str">
        <x:v>AI-агенты и оркестрация</x:v>
      </x:c>
      <x:c r="T13" s="23" t="str">
        <x:v>search:AI agent automation:page3</x:v>
      </x:c>
    </x:row>
    <x:row r="14" ht="48" customHeight="1">
      <x:c r="A14" s="26" t="n">
        <x:v>10</x:v>
      </x:c>
      <x:c r="B14" s="23" t="str">
        <x:v>Upwork</x:v>
      </x:c>
      <x:c r="C14" s="23" t="str">
        <x:v>~022081736547732936695</x:v>
      </x:c>
      <x:c r="D14" s="23" t="str">
        <x:v>Автоматизация процессов и интеграции</x:v>
      </x:c>
      <x:c r="E14" s="29" t="n">
        <x:v>90</x:v>
      </x:c>
      <x:c r="F14" s="23" t="str">
        <x:v>90-94% - очень сильное</x:v>
      </x:c>
      <x:c r="G14" s="23" t="str">
        <x:v>captured - recheck</x:v>
      </x:c>
      <x:c r="H14" s="23" t="str">
        <x:v>hourly</x:v>
      </x:c>
      <x:c r="I14" s="23" t="str">
        <x:v>AI Automation Engineer | AI Agents | n8n | Make | LLM Integrations</x:v>
      </x:c>
      <x:c r="J14" s="23" t="str">
        <x:v>Ищут AI Automation Engineer на длительную занятость для n8n, Make или Zapier workflow, AI-агентов, RAG, CRM и API-интеграций, backend-сервисов и поддержки production-систем. Работа включает поиск возможностей автоматизации, реализацию, документацию и постоянное улучшение.</x:v>
      </x:c>
      <x:c r="K14" s="23" t="str">
        <x:v>Это наиболее полное совпадение в диапазоне: JavaScript/TypeScript, AI-агенты, OpenAI/Claude, RAG, API, CRM, cloud и production-надежность напрямую соответствуют Давиду и разработке Kora. Клиент подтвержден, имеет рейтинг 5.0 и $10K+ расходов, а длительность дает потенциал стабильной работы.</x:v>
      </x:c>
      <x:c r="L14" s="23" t="str">
        <x:v>Нужны 3+ года именно в AI-автоматизациях и практические кейсы с n8n, Make или Zapier, наличие которых не следует считать доказанным. Занятость 30+ часов в неделю более шести месяцев может конфликтовать с развитием Kora, а конкуренция уже 50+.</x:v>
      </x:c>
      <x:c r="M14" s="23" t="str">
        <x:v>Hourly</x:v>
      </x:c>
      <x:c r="N14" s="23" t="str">
        <x:v>verified</x:v>
      </x:c>
      <x:c r="O14" s="26" t="str">
        <x:v>50+</x:v>
      </x:c>
      <x:c r="P14" s="23" t="str">
        <x:v>yesterday</x:v>
      </x:c>
      <x:c r="Q14" s="23" t="str">
        <x:v>Argentina</x:v>
      </x:c>
      <x:c r="R14" s="23" t="str">
        <x:v>https://www.upwork.com/jobs/span-class-highlight-span-span-class-highlight-Automation-span-Engineer-span-class-highlight-span-span-class-highlight-Agents-span-n8n-Make-LLM-Integrations_~022081736547732936695/?referrer_url_path=/nx/search/jobs/</x:v>
      </x:c>
      <x:c r="S14" s="23" t="str">
        <x:v>Автоматизация процессов и интеграции</x:v>
      </x:c>
      <x:c r="T14" s="23" t="str">
        <x:v>search:AI agent automation:page1</x:v>
      </x:c>
    </x:row>
    <x:row r="15" ht="48" customHeight="1">
      <x:c r="A15" s="26" t="n">
        <x:v>11</x:v>
      </x:c>
      <x:c r="B15" s="23" t="str">
        <x:v>Upwork</x:v>
      </x:c>
      <x:c r="C15" s="23" t="str">
        <x:v>~022073883528374083136</x:v>
      </x:c>
      <x:c r="D15" s="23" t="str">
        <x:v>Автоматизация процессов и интеграции</x:v>
      </x:c>
      <x:c r="E15" s="29" t="n">
        <x:v>90</x:v>
      </x:c>
      <x:c r="F15" s="23" t="str">
        <x:v>90-94% - очень сильное</x:v>
      </x:c>
      <x:c r="G15" s="23" t="str">
        <x:v>captured - recheck</x:v>
      </x:c>
      <x:c r="H15" s="23" t="str">
        <x:v>hourly</x:v>
      </x:c>
      <x:c r="I15" s="23" t="str">
        <x:v>AI Automation Engineer Build AI Transaction Coordinator for Brivity CRM Claude + Browser Automation</x:v>
      </x:c>
      <x:c r="J15" s="23" t="str">
        <x:v>Нужно автоматизировать координацию сделок в Brivity: получать письмо Gmail, скачивать документы, находить или создавать сделку, добавлять участников, загружать файлы, обновлять checklist и уведомлять агента. Из-за отсутствия обозначенного API предполагается AI-агент с надежной браузерной автоматизацией.</x:v>
      </x:c>
      <x:c r="K15" s="23" t="str">
        <x:v>Очень сильный fit по входящим сообщениям и документам, CRM, многошаговому workflow, Claude или OpenAI, Playwright и долгосрочной автоматизации операций. Клиент подтвержден, имеет рейтинг 5, расходы свыше $3K и прямо планирует следующие проекты.</x:v>
      </x:c>
      <x:c r="L15" s="23" t="str">
        <x:v>Нужен доказанный опыт устойчивой браузерной автоматизации и план на изменения интерфейса Brivity. Требуются 30+ часов в неделю, конкуренция превышает 50 заявок, а доменный опыт real estate CRM будет преимуществом.</x:v>
      </x:c>
      <x:c r="M15" s="23" t="str">
        <x:v>Hourly: $25.00 - $75.00</x:v>
      </x:c>
      <x:c r="N15" s="23" t="str">
        <x:v>verified</x:v>
      </x:c>
      <x:c r="O15" s="26" t="str">
        <x:v>50+</x:v>
      </x:c>
      <x:c r="P15" s="23" t="str">
        <x:v>3 weeks ago</x:v>
      </x:c>
      <x:c r="Q15" s="23" t="str">
        <x:v>United States</x:v>
      </x:c>
      <x:c r="R15" s="23" t="str">
        <x:v>https://www.upwork.com/jobs/span-class-highlight-span-span-class-highlight-Automation-span-Engineer-Build-span-class-highlight-span-Transaction-Coordinator-for-Brivity-CRM-Claude-Browser-span-class-highlight-Automation-span_~022073883528374083136/?referrer_url_path=/nx/search/jobs/</x:v>
      </x:c>
      <x:c r="S15" s="23" t="str">
        <x:v>Автоматизация процессов и интеграции</x:v>
      </x:c>
      <x:c r="T15" s="23" t="str">
        <x:v>search:AI agent automation:page4</x:v>
      </x:c>
    </x:row>
    <x:row r="16" ht="48" customHeight="1">
      <x:c r="A16" s="26" t="n">
        <x:v>12</x:v>
      </x:c>
      <x:c r="B16" s="23" t="str">
        <x:v>Upwork</x:v>
      </x:c>
      <x:c r="C16" s="23" t="str">
        <x:v>~022082128625824180648</x:v>
      </x:c>
      <x:c r="D16" s="23" t="str">
        <x:v>Автоматизация процессов и интеграции</x:v>
      </x:c>
      <x:c r="E16" s="29" t="n">
        <x:v>90</x:v>
      </x:c>
      <x:c r="F16" s="23" t="str">
        <x:v>90-94% - очень сильное</x:v>
      </x:c>
      <x:c r="G16" s="23" t="str">
        <x:v>captured - recheck</x:v>
      </x:c>
      <x:c r="H16" s="23" t="str">
        <x:v>hourly</x:v>
      </x:c>
      <x:c r="I16" s="23" t="str">
        <x:v>AI Automation Expert (Agents + n8n)</x:v>
      </x:c>
      <x:c r="J16" s="23" t="str">
        <x:v>У обувного бренда уже работает внутренний AI-агент в Slack, но его хотят аккуратно перестроить в n8n, убрать хаотичную структуру и сделать основу удобной для дальнейшего расширения. Требуется реальный опыт AI-агентов и хорошая архитектура n8n-workflows.</x:v>
      </x:c>
      <x:c r="K16" s="23" t="str">
        <x:v>Рефакторинг действующего Slack-агента в поддерживаемую n8n-систему очень близок к AI automation и продуктовой инфраструктуре Kora. Scope ограничен сроком менее недели, клиент подтвержден, рейтинг 4,8 и более $20K расходов.</x:v>
      </x:c>
      <x:c r="L16" s="23" t="str">
        <x:v>Точные функции текущего агента и критерии готовности не перечислены, ставка не отображается. Клиент требует доказуемого опыта реальных агентов, а конкуренция уже 50+.</x:v>
      </x:c>
      <x:c r="M16" s="23" t="str">
        <x:v>Hourly</x:v>
      </x:c>
      <x:c r="N16" s="23" t="str">
        <x:v>verified</x:v>
      </x:c>
      <x:c r="O16" s="26" t="str">
        <x:v>50+</x:v>
      </x:c>
      <x:c r="P16" s="23" t="str">
        <x:v>1 hour ago</x:v>
      </x:c>
      <x:c r="Q16" s="23" t="str">
        <x:v>Netherlands</x:v>
      </x:c>
      <x:c r="R16" s="23" t="str">
        <x:v>https://www.upwork.com/jobs/Automation-Expert-Agents-n8n_~022082128625824180648/?referrer_url_path=find_work_home</x:v>
      </x:c>
      <x:c r="S16" s="23" t="str">
        <x:v>Автоматизация процессов и интеграции</x:v>
      </x:c>
      <x:c r="T16" s="23" t="str">
        <x:v>best_matches</x:v>
      </x:c>
    </x:row>
    <x:row r="17" ht="48" customHeight="1">
      <x:c r="A17" s="26" t="n">
        <x:v>13</x:v>
      </x:c>
      <x:c r="B17" s="23" t="str">
        <x:v>Upwork</x:v>
      </x:c>
      <x:c r="C17" s="23" t="str">
        <x:v>~022076935615291863294</x:v>
      </x:c>
      <x:c r="D17" s="23" t="str">
        <x:v>Автоматизация процессов и интеграции</x:v>
      </x:c>
      <x:c r="E17" s="29" t="n">
        <x:v>90</x:v>
      </x:c>
      <x:c r="F17" s="23" t="str">
        <x:v>90-94% - очень сильное</x:v>
      </x:c>
      <x:c r="G17" s="23" t="str">
        <x:v>captured - recheck</x:v>
      </x:c>
      <x:c r="H17" s="23" t="str">
        <x:v>не указано</x:v>
      </x:c>
      <x:c r="I17" s="23" t="str">
        <x:v>Ai Automation for marketing agency</x:v>
      </x:c>
      <x:c r="J17" s="23" t="str">
        <x:v>Маркетинговое агентство хочет подключить AI к CRM, почте и системе управления проектами для квалификации лидов, поддержки, записи, подготовки предложений и внутренних передач. Клиент предлагает начать с одного небольшого пилотного workflow и расширять систему после проверки.</x:v>
      </x:c>
      <x:c r="K17" s="23" t="str">
        <x:v>Практически прямой продуктовый сценарий Kora: CRM, сообщения, лиды, расписание, Claude/OpenAI и поэтапный пилот с возможностью повторного использования.</x:v>
      </x:c>
      <x:c r="L17" s="23" t="str">
        <x:v>Нужно заранее сузить первый модуль и критерии приемки; у клиента пока нет расходов и рейтинга, уже 50+ предложений.</x:v>
      </x:c>
      <x:c r="M17" s="23" t="str">
        <x:v>$900.00</x:v>
      </x:c>
      <x:c r="N17" s="23" t="str">
        <x:v>verified</x:v>
      </x:c>
      <x:c r="O17" s="26" t="str">
        <x:v>50+</x:v>
      </x:c>
      <x:c r="P17" s="23" t="str">
        <x:v>2 weeks ago</x:v>
      </x:c>
      <x:c r="Q17" s="23" t="str">
        <x:v>France</x:v>
      </x:c>
      <x:c r="R17" s="23" t="str">
        <x:v>https://www.upwork.com/jobs/span-class-highlight-span-span-class-highlight-Automation-span-for-marketing-agency_~022076935615291863294/?referrer_url_path=/nx/search/jobs/</x:v>
      </x:c>
      <x:c r="S17" s="23" t="str">
        <x:v>Автоматизация процессов и интеграции</x:v>
      </x:c>
      <x:c r="T17" s="23" t="str">
        <x:v>search:AI agent automation:page7</x:v>
      </x:c>
    </x:row>
    <x:row r="18" ht="48" customHeight="1">
      <x:c r="A18" s="26" t="n">
        <x:v>14</x:v>
      </x:c>
      <x:c r="B18" s="23" t="str">
        <x:v>Upwork</x:v>
      </x:c>
      <x:c r="C18" s="23" t="str">
        <x:v>~022071869598491167955</x:v>
      </x:c>
      <x:c r="D18" s="23" t="str">
        <x:v>Чат-боты, поддержка и CRM</x:v>
      </x:c>
      <x:c r="E18" s="29" t="n">
        <x:v>90</x:v>
      </x:c>
      <x:c r="F18" s="23" t="str">
        <x:v>90-94% - очень сильное</x:v>
      </x:c>
      <x:c r="G18" s="23" t="str">
        <x:v>captured - recheck</x:v>
      </x:c>
      <x:c r="H18" s="23" t="str">
        <x:v>не указано</x:v>
      </x:c>
      <x:c r="I18" s="23" t="str">
        <x:v>AI Automation Specialist for Lead Qualification, CRM Routing and Multichannel Appointment Booking</x:v>
      </x:c>
      <x:c r="J18" s="23" t="str">
        <x:v>Нужно построить многоязычную систему записи на прием: классифицировать входящие сообщения, управлять бронированием, переносом, отменой, напоминаниями и листом ожидания, синхронизируя календарь и CRM. AI только интерпретирует запросы, а действия выполняются по правилам с логами и эскалацией человеку.</x:v>
      </x:c>
      <x:c r="K18" s="23" t="str">
        <x:v>Почти точное попадание в ядро Kora: сообщения, структурированное извлечение, маршрутизация, CRM, календарь, human-in-the-loop и повторно используемая архитектура.</x:v>
      </x:c>
      <x:c r="L18" s="23" t="str">
        <x:v>Объем на несколько этапов несоразмерен фиксированным $500; клиент без расходов и рейтинга, 20-50 предложений, нужны подтвержденные кейсы именно с календарями и CRM.</x:v>
      </x:c>
      <x:c r="M18" s="23" t="str">
        <x:v>$500.00</x:v>
      </x:c>
      <x:c r="N18" s="23" t="str">
        <x:v>verified</x:v>
      </x:c>
      <x:c r="O18" s="26" t="str">
        <x:v>20 to 50</x:v>
      </x:c>
      <x:c r="P18" s="23" t="str">
        <x:v>4 weeks ago</x:v>
      </x:c>
      <x:c r="Q18" s="23" t="str">
        <x:v>Andorra</x:v>
      </x:c>
      <x:c r="R18" s="23" t="str">
        <x:v>https://www.upwork.com/jobs/span-class-highlight-span-span-class-highlight-Automation-span-Specialist-for-Lead-Qualification-CRM-Routing-and-Multichannel-Appointment-Booking_~022071869598491167955/?referrer_url_path=/nx/search/jobs/</x:v>
      </x:c>
      <x:c r="S18" s="23" t="str">
        <x:v>Чат-боты, поддержка и CRM</x:v>
      </x:c>
      <x:c r="T18" s="23" t="str">
        <x:v>search:AI agent automation:page6</x:v>
      </x:c>
    </x:row>
    <x:row r="19" ht="48" customHeight="1">
      <x:c r="A19" s="26" t="n">
        <x:v>15</x:v>
      </x:c>
      <x:c r="B19" s="23" t="str">
        <x:v>Upwork</x:v>
      </x:c>
      <x:c r="C19" s="23" t="str">
        <x:v>~022079631969043129867</x:v>
      </x:c>
      <x:c r="D19" s="23" t="str">
        <x:v>Автоматизация процессов и интеграции</x:v>
      </x:c>
      <x:c r="E19" s="29" t="n">
        <x:v>90</x:v>
      </x:c>
      <x:c r="F19" s="23" t="str">
        <x:v>90-94% - очень сильное</x:v>
      </x:c>
      <x:c r="G19" s="23" t="str">
        <x:v>captured - recheck</x:v>
      </x:c>
      <x:c r="H19" s="23" t="str">
        <x:v>не указано</x:v>
      </x:c>
      <x:c r="I19" s="23" t="str">
        <x:v>AI Workflow Automation Developer for Order Processing and Operations</x:v>
      </x:c>
      <x:c r="J19" s="23" t="str">
        <x:v>Оптовому дистрибьютору нужно автоматизировать заказы из email, вложений, таблиц, сайта и партнерских каналов: извлекать реквизиты, проверять правила, запрашивать inventory и клиентов через API, создавать черновики в ERP или CRM и эскалировать исключения человеку. Нужны follow-up письма, Slack или Teams, audit trail, защита от дублей, надежное восстановление и мониторинг.</x:v>
      </x:c>
      <x:c r="K19" s="23" t="str">
        <x:v>Это точное совпадение с продуктовой гипотезой Kora: входящие сообщения и документы, structured extraction, детерминированные проверки, API и CRM, human approval, аудит и надежные fallbacks. Стек открыт для n8n, Node-совместимых интеграций, OpenAI или Claude, а клиент имеет рейтинг 5.0 и более $100000 расходов.</x:v>
      </x:c>
      <x:c r="L19" s="23" t="str">
        <x:v>Фиксированный бюджет $300 несоразмерен описанной production-системе и множеству интеграций, поэтому нужен жестко ограниченный платный discovery или один MVP-поток. Уже 50+ откликов.</x:v>
      </x:c>
      <x:c r="M19" s="23" t="str">
        <x:v>$300.00</x:v>
      </x:c>
      <x:c r="N19" s="23" t="str">
        <x:v>verified</x:v>
      </x:c>
      <x:c r="O19" s="26" t="str">
        <x:v>50+</x:v>
      </x:c>
      <x:c r="P19" s="23" t="str">
        <x:v>last week</x:v>
      </x:c>
      <x:c r="Q19" s="23" t="str">
        <x:v>Serbia</x:v>
      </x:c>
      <x:c r="R19" s="23" t="str">
        <x:v>https://www.upwork.com/jobs/span-class-highlight-span-Workflow-span-class-highlight-Automation-span-Developer-for-Order-Processing-and-Operations_~022079631969043129867/?referrer_url_path=/nx/search/jobs/</x:v>
      </x:c>
      <x:c r="S19" s="23" t="str">
        <x:v>Автоматизация процессов и интеграции</x:v>
      </x:c>
      <x:c r="T19" s="23" t="str">
        <x:v>search:AI agent automation:page6</x:v>
      </x:c>
    </x:row>
    <x:row r="20" ht="48" customHeight="1">
      <x:c r="A20" s="26" t="n">
        <x:v>16</x:v>
      </x:c>
      <x:c r="B20" s="23" t="str">
        <x:v>Upwork</x:v>
      </x:c>
      <x:c r="C20" s="23" t="str">
        <x:v>~022082059740997677549</x:v>
      </x:c>
      <x:c r="D20" s="23" t="str">
        <x:v>AI-продукты и full-stack</x:v>
      </x:c>
      <x:c r="E20" s="29" t="n">
        <x:v>90</x:v>
      </x:c>
      <x:c r="F20" s="23" t="str">
        <x:v>90-94% - очень сильное</x:v>
      </x:c>
      <x:c r="G20" s="23" t="str">
        <x:v>captured - recheck</x:v>
      </x:c>
      <x:c r="H20" s="23" t="str">
        <x:v>hourly</x:v>
      </x:c>
      <x:c r="I20" s="23" t="str">
        <x:v>Senior AI Engineer to Build an AI Sales Operations Employee (LLMs, CRM, Multi-Agent AI)</x:v>
      </x:c>
      <x:c r="J20" s="23" t="str">
        <x:v>Нужно построить production-платформу AI Sales Operations Employee, которая исследует и квалифицирует лиды, генерирует outreach и предложения, обновляет CRM, ведет follow-up, бронирует встречи и показывает аналитику. Требуются full-stack, multi-agent orchestration, RAG, n8n или аналоги, API, deployment, тесты и мониторинг.</x:v>
      </x:c>
      <x:c r="K20" s="23" t="str">
        <x:v>Node.js, TypeScript, React, LLM, агентные workflows, RAG, CRM, OAuth и n8n почти полностью совпадают со стеком Давида и направлением Kora. Бизнес-процесс сформулирован подробно, а продуктовая переиспользуемость очень высокая.</x:v>
      </x:c>
      <x:c r="L20" s="23" t="str">
        <x:v>Это крупный production-продукт на 3-6 месяцев и 30+ часов в неделю с требованием релевантного портфолио. Клиент потратил только $1K+, ставка $30-$45 и уже 50+ предложений.</x:v>
      </x:c>
      <x:c r="M20" s="23" t="str">
        <x:v>Hourly: $30-$45</x:v>
      </x:c>
      <x:c r="N20" s="23" t="str">
        <x:v>verified</x:v>
      </x:c>
      <x:c r="O20" s="26" t="str">
        <x:v>50+</x:v>
      </x:c>
      <x:c r="P20" s="23" t="str">
        <x:v>6 hours ago</x:v>
      </x:c>
      <x:c r="Q20" s="23" t="str">
        <x:v>United States</x:v>
      </x:c>
      <x:c r="R20" s="23" t="str">
        <x:v>https://www.upwork.com/jobs/Senior-Engineer-Build-Sales-Operations-Employee-LLMs-CRM-Multi-Agent_~022082059740997677549/?referrer_url_path=find_work_home</x:v>
      </x:c>
      <x:c r="S20" s="23" t="str">
        <x:v>AI-продукты и full-stack</x:v>
      </x:c>
      <x:c r="T20" s="23" t="str">
        <x:v>best_matches</x:v>
      </x:c>
    </x:row>
    <x:row r="21" ht="48" customHeight="1">
      <x:c r="A21" s="26" t="n">
        <x:v>17</x:v>
      </x:c>
      <x:c r="B21" s="23" t="str">
        <x:v>Upwork</x:v>
      </x:c>
      <x:c r="C21" s="23" t="str">
        <x:v>~022082023362208208284</x:v>
      </x:c>
      <x:c r="D21" s="23" t="str">
        <x:v>Автоматизация процессов и интеграции</x:v>
      </x:c>
      <x:c r="E21" s="29" t="n">
        <x:v>85</x:v>
      </x:c>
      <x:c r="F21" s="23" t="str">
        <x:v>80-89% - сильное</x:v>
      </x:c>
      <x:c r="G21" s="23" t="str">
        <x:v>captured - recheck</x:v>
      </x:c>
      <x:c r="H21" s="23" t="str">
        <x:v>hourly</x:v>
      </x:c>
      <x:c r="I21" s="23" t="str">
        <x:v>AI Agent &amp; n8n Automation System for Freight Forwarding Company</x:v>
      </x:c>
      <x:c r="J21" s="23" t="str">
        <x:v>Для логистической компании требуется MVP на n8n и OpenAI: база лидов, CRM, генерация и последовательности писем, Airtable или Google Sheets, отчеты, дедупликация и статусы. В следующих этапах возможны RFQ, расчет фрахта, WhatsApp и дополнительные процессы.</x:v>
      </x:c>
      <x:c r="K21" s="23" t="str">
        <x:v>Почти прямое совпадение с профилем Kora: входящие данные, CRM, OpenAI, n8n, бизнес-правила, интеграции и расширяемые workflow. MVP описан достаточно предметно и пригоден для поэтапной реализации.</x:v>
      </x:c>
      <x:c r="L21" s="23" t="str">
        <x:v>Клиент без подтвержденной оплаты и истории расходов, ставка не указана. Желателен опыт в freight forwarding, а перечисленные будущие фазы создают риск расширения scope.</x:v>
      </x:c>
      <x:c r="M21" s="23" t="str">
        <x:v>Hourly</x:v>
      </x:c>
      <x:c r="N21" s="23" t="str">
        <x:v>unverified</x:v>
      </x:c>
      <x:c r="O21" s="26" t="str">
        <x:v>20 to 50</x:v>
      </x:c>
      <x:c r="P21" s="23" t="str">
        <x:v>5 hours ago</x:v>
      </x:c>
      <x:c r="Q21" s="23" t="str">
        <x:v>United Arab Emirates</x:v>
      </x:c>
      <x:c r="R21" s="23" t="str">
        <x:v>https://www.upwork.com/jobs/span-class-highlight-span-span-class-highlight-Agent-span-amp-n8n-span-class-highlight-Automation-span-System-for-Freight-Forwarding-Company_~022082023362208208284/?referrer_url_path=/nx/search/jobs/</x:v>
      </x:c>
      <x:c r="S21" s="23" t="str">
        <x:v>Автоматизация процессов и интеграции</x:v>
      </x:c>
      <x:c r="T21" s="23" t="str">
        <x:v>search:AI agent automation:page2</x:v>
      </x:c>
    </x:row>
    <x:row r="22" ht="48" customHeight="1">
      <x:c r="A22" s="26" t="n">
        <x:v>18</x:v>
      </x:c>
      <x:c r="B22" s="23" t="str">
        <x:v>Upwork</x:v>
      </x:c>
      <x:c r="C22" s="23" t="str">
        <x:v>~022082121535485723389</x:v>
      </x:c>
      <x:c r="D22" s="23" t="str">
        <x:v>AI-агенты и оркестрация</x:v>
      </x:c>
      <x:c r="E22" s="29" t="n">
        <x:v>85</x:v>
      </x:c>
      <x:c r="F22" s="23" t="str">
        <x:v>80-89% - сильное</x:v>
      </x:c>
      <x:c r="G22" s="23" t="str">
        <x:v>captured - recheck</x:v>
      </x:c>
      <x:c r="H22" s="23" t="str">
        <x:v>hourly</x:v>
      </x:c>
      <x:c r="I22" s="23" t="str">
        <x:v>AI Agent Developer for Commodity Data</x:v>
      </x:c>
      <x:c r="J22" s="23" t="str">
        <x:v>Нужно создать в n8n первого из трех AI-агентов: он исследует данные о сырьевых товарах только по утвержденным источникам и экспортирует структурированный результат в Excel и PDF. В следующих этапах планируются проверка данных по правилам и генерация отчетов.</x:v>
      </x:c>
      <x:c r="K22" s="23" t="str">
        <x:v>Очень близкий стек: n8n, LLM API, RAG, структурированные данные и повторяемый агентный workflow. Узкий тестовый этап реалистичен для одного исполнителя и хорошо переиспользуется в Kora.</x:v>
      </x:c>
      <x:c r="L22" s="23" t="str">
        <x:v>Клиент без подтвержденной оплаты и истории, уже 20-50 предложений. Потребуются доказуемые примеры именно n8n и RAG, а требования к источникам и качеству экспорта еще надо уточнить.</x:v>
      </x:c>
      <x:c r="M22" s="23" t="str">
        <x:v>Hourly: $25-$45</x:v>
      </x:c>
      <x:c r="N22" s="23" t="str">
        <x:v>unverified</x:v>
      </x:c>
      <x:c r="O22" s="26" t="str">
        <x:v>20 to 50</x:v>
      </x:c>
      <x:c r="P22" s="23" t="str">
        <x:v>2 hours ago</x:v>
      </x:c>
      <x:c r="Q22" s="23" t="str">
        <x:v>Brazil</x:v>
      </x:c>
      <x:c r="R22" s="23" t="str">
        <x:v>https://www.upwork.com/jobs/Agent-Developer-for-Commodity-Data_~022082121535485723389/?referrer_url_path=find_work_home</x:v>
      </x:c>
      <x:c r="S22" s="23" t="str">
        <x:v>AI-агенты и оркестрация</x:v>
      </x:c>
      <x:c r="T22" s="23" t="str">
        <x:v>best_matches</x:v>
      </x:c>
    </x:row>
    <x:row r="23" ht="48" customHeight="1">
      <x:c r="A23" s="26" t="n">
        <x:v>19</x:v>
      </x:c>
      <x:c r="B23" s="23" t="str">
        <x:v>Upwork</x:v>
      </x:c>
      <x:c r="C23" s="23" t="str">
        <x:v>~022081858218070459133</x:v>
      </x:c>
      <x:c r="D23" s="23" t="str">
        <x:v>AI-агенты и оркестрация</x:v>
      </x:c>
      <x:c r="E23" s="29" t="n">
        <x:v>85</x:v>
      </x:c>
      <x:c r="F23" s="23" t="str">
        <x:v>80-89% - сильное</x:v>
      </x:c>
      <x:c r="G23" s="23" t="str">
        <x:v>captured - recheck</x:v>
      </x:c>
      <x:c r="H23" s="23" t="str">
        <x:v>hourly</x:v>
      </x:c>
      <x:c r="I23" s="23" t="str">
        <x:v>AI Agent Developer for Dynamic Cost Estimator</x:v>
      </x:c>
      <x:c r="J23" s="23" t="str">
        <x:v>Нужно создать AI-агента для расчета стоимости: регулярно собирать и проверять цены, хранить их в структурированной базе, применять формулы и правила, а спорные данные отправлять на проверку человеку.</x:v>
      </x:c>
      <x:c r="K23" s="23" t="str">
        <x:v>Очень близко к сильной стороне Давида и продуктовой механике Kora: агент, API-интеграции, структурированные данные, детерминированные правила и human-in-the-loop. Объем ограничен сроком до месяца, а результат описан достаточно конкретно.</x:v>
      </x:c>
      <x:c r="L23" s="23" t="str">
        <x:v>Клиент ожидает примеры ранее созданных estimators или агентных систем, но наличие такого портфолио не подтверждено. Нет видимой ставки, уже 50+ предложений, а опыт в строительных расчетах будет преимуществом.</x:v>
      </x:c>
      <x:c r="M23" s="23" t="str">
        <x:v>Hourly</x:v>
      </x:c>
      <x:c r="N23" s="23" t="str">
        <x:v>verified</x:v>
      </x:c>
      <x:c r="O23" s="26" t="str">
        <x:v>50+</x:v>
      </x:c>
      <x:c r="P23" s="23" t="str">
        <x:v>19 hours ago</x:v>
      </x:c>
      <x:c r="Q23" s="23" t="str">
        <x:v>United States</x:v>
      </x:c>
      <x:c r="R23" s="23" t="str">
        <x:v>https://www.upwork.com/jobs/Agent-Developer-for-Dynamic-Cost-Estimator_~022081858218070459133/?referrer_url_path=find_work_home</x:v>
      </x:c>
      <x:c r="S23" s="23" t="str">
        <x:v>AI-агенты и оркестрация</x:v>
      </x:c>
      <x:c r="T23" s="23" t="str">
        <x:v>best_matches</x:v>
      </x:c>
    </x:row>
    <x:row r="24" ht="48" customHeight="1">
      <x:c r="A24" s="26" t="n">
        <x:v>20</x:v>
      </x:c>
      <x:c r="B24" s="23" t="str">
        <x:v>Upwork</x:v>
      </x:c>
      <x:c r="C24" s="23" t="str">
        <x:v>~022081598123554232311</x:v>
      </x:c>
      <x:c r="D24" s="23" t="str">
        <x:v>Автоматизация процессов и интеграции</x:v>
      </x:c>
      <x:c r="E24" s="29" t="n">
        <x:v>85</x:v>
      </x:c>
      <x:c r="F24" s="23" t="str">
        <x:v>80-89% - сильное</x:v>
      </x:c>
      <x:c r="G24" s="23" t="str">
        <x:v>captured - recheck</x:v>
      </x:c>
      <x:c r="H24" s="23" t="str">
        <x:v>hourly</x:v>
      </x:c>
      <x:c r="I24" s="23" t="str">
        <x:v>AI-Powered Property Management &amp; Tenant Operations Automation</x:v>
      </x:c>
      <x:c r="J24" s="23" t="str">
        <x:v>Нужно автоматизировать операции с арендаторами: принимать WhatsApp-сообщения и платежные скриншоты, извлекать данные OCR, сверять платежи в Buildium, синхронизировать QuickBooks, сохранять документы и вести аудит. Агент также должен отвечать на обращения, классифицировать заявки на ремонт и эскалировать исключения.</x:v>
      </x:c>
      <x:c r="K24" s="23" t="str">
        <x:v>Очень сильное совпадение с Kora по обработке сообщений и документов, структурированному извлечению, проверке по надежным данным, API-интеграциям, аудиту и передаче сложных случаев человеку.</x:v>
      </x:c>
      <x:c r="L24" s="23" t="str">
        <x:v>Опыт с Buildium указан как обязательный и не подтвержден. Финансовые операции требуют особенно строгой идемпотентности и контроля ошибок; клиент без подтвержденной оплаты и истории.</x:v>
      </x:c>
      <x:c r="M24" s="23" t="str">
        <x:v>Hourly: $15.00 - $25.00</x:v>
      </x:c>
      <x:c r="N24" s="23" t="str">
        <x:v>unverified</x:v>
      </x:c>
      <x:c r="O24" s="26" t="str">
        <x:v>20 to 50</x:v>
      </x:c>
      <x:c r="P24" s="23" t="str">
        <x:v>yesterday</x:v>
      </x:c>
      <x:c r="Q24" s="23" t="str">
        <x:v>India</x:v>
      </x:c>
      <x:c r="R24" s="23" t="str">
        <x:v>https://www.upwork.com/jobs/span-class-highlight-span-Powered-Property-Management-amp-Tenant-Operations-span-class-highlight-Automation-span_~022081598123554232311/?referrer_url_path=/nx/search/jobs/</x:v>
      </x:c>
      <x:c r="S24" s="23" t="str">
        <x:v>Автоматизация процессов и интеграции</x:v>
      </x:c>
      <x:c r="T24" s="23" t="str">
        <x:v>search:AI agent automation:page3</x:v>
      </x:c>
    </x:row>
    <x:row r="25" ht="48" customHeight="1">
      <x:c r="A25" s="26" t="n">
        <x:v>21</x:v>
      </x:c>
      <x:c r="B25" s="23" t="str">
        <x:v>Upwork</x:v>
      </x:c>
      <x:c r="C25" s="23" t="str">
        <x:v>~022081965076177154541</x:v>
      </x:c>
      <x:c r="D25" s="23" t="str">
        <x:v>Автоматизация процессов и интеграции</x:v>
      </x:c>
      <x:c r="E25" s="29" t="n">
        <x:v>85</x:v>
      </x:c>
      <x:c r="F25" s="23" t="str">
        <x:v>80-89% - сильное</x:v>
      </x:c>
      <x:c r="G25" s="23" t="str">
        <x:v>captured - recheck</x:v>
      </x:c>
      <x:c r="H25" s="23" t="str">
        <x:v>hourly</x:v>
      </x:c>
      <x:c r="I25" s="23" t="str">
        <x:v>Build AI-Powered Zapier Workflow for Automatic Mail Processing (Google Drive + Claude + Discord)</x:v>
      </x:c>
      <x:c r="J25" s="23" t="str">
        <x:v>Нужно собрать в Zapier надежный процесс обработки отсканированной почты: читать PDF через OCR и Claude, классифицировать и переименовывать документы, раскладывать их по Google Drive и отправлять краткое уведомление в Discord.</x:v>
      </x:c>
      <x:c r="K25" s="23" t="str">
        <x:v>Это четкий end-to-end workflow с Claude, API, документами, классификацией, обработкой ошибок и уведомлениями. Он хорошо совпадает с Kora-моделью «документ -&gt; структурированный результат -&gt; действие» и имеет ясные deliverables на срок менее недели.</x:v>
      </x:c>
      <x:c r="L25" s="23" t="str">
        <x:v>Нужны практические Zapier, OCR/PDF и Discord-интеграции, наличие которых в портфолио Давида не подтверждено. Документы могут содержать банковские, медицинские, налоговые и юридические данные; уже 50+ предложений, а клиент требует собственноручно написанный отклик и примеры похожих работ.</x:v>
      </x:c>
      <x:c r="M25" s="23" t="str">
        <x:v>Hourly</x:v>
      </x:c>
      <x:c r="N25" s="23" t="str">
        <x:v>verified</x:v>
      </x:c>
      <x:c r="O25" s="26" t="str">
        <x:v>50+</x:v>
      </x:c>
      <x:c r="P25" s="23" t="str">
        <x:v>12 hours ago</x:v>
      </x:c>
      <x:c r="Q25" s="23" t="str">
        <x:v>United States</x:v>
      </x:c>
      <x:c r="R25" s="23" t="str">
        <x:v>https://www.upwork.com/jobs/Build-Powered-Zapier-Workflow-for-Automatic-Mail-Processing-Google-Drive-Claude-Discord_~022081965076177154541/?referrer_url_path=find_work_home</x:v>
      </x:c>
      <x:c r="S25" s="23" t="str">
        <x:v>Автоматизация процессов и интеграции</x:v>
      </x:c>
      <x:c r="T25" s="23" t="str">
        <x:v>best_matches</x:v>
      </x:c>
    </x:row>
    <x:row r="26" ht="48" customHeight="1">
      <x:c r="A26" s="26" t="n">
        <x:v>22</x:v>
      </x:c>
      <x:c r="B26" s="23" t="str">
        <x:v>Upwork</x:v>
      </x:c>
      <x:c r="C26" s="23" t="str">
        <x:v>~022082076899341845245</x:v>
      </x:c>
      <x:c r="D26" s="23" t="str">
        <x:v>AI-продукты и full-stack</x:v>
      </x:c>
      <x:c r="E26" s="29" t="n">
        <x:v>85</x:v>
      </x:c>
      <x:c r="F26" s="23" t="str">
        <x:v>80-89% - сильное</x:v>
      </x:c>
      <x:c r="G26" s="23" t="str">
        <x:v>captured - recheck</x:v>
      </x:c>
      <x:c r="H26" s="23" t="str">
        <x:v>hourly</x:v>
      </x:c>
      <x:c r="I26" s="23" t="str">
        <x:v>Full Stack AI Automation Engineer Ai Sales Workflow Platform</x:v>
      </x:c>
      <x:c r="J26" s="23" t="str">
        <x:v>Сервисному бизнесу с 1000+ обращений в месяц нужен AI Sales Agent, который квалифицирует лиды, обновляет GoHighLevel, назначает менеджера, запускает follow-up, бронирует встречи и готовит резюме перед звонком. Стек включает React или Vue, Node.js, n8n, OpenAI или Claude, REST API и PostgreSQL.</x:v>
      </x:c>
      <x:c r="K26" s="23" t="str">
        <x:v>Это почти прямое совпадение со стеком и продуктовой гипотезой Kora: входящие лиды, AI-классификация, CRM-действия, follow-up и интерфейс на React/Node.js. Боль конкретна, объем лидов подтверждает ценность автоматизации.</x:v>
      </x:c>
      <x:c r="L26" s="23" t="str">
        <x:v>Проект большой, рассчитан на 3-6 месяцев, и клиент требует пример уже реализованной AI sales automation. Клиент без подтвержденной оплаты и истории, ставка $25-$47, конкуренция 50+.</x:v>
      </x:c>
      <x:c r="M26" s="23" t="str">
        <x:v>Hourly: $25-$47</x:v>
      </x:c>
      <x:c r="N26" s="23" t="str">
        <x:v>unverified</x:v>
      </x:c>
      <x:c r="O26" s="26" t="str">
        <x:v>50+</x:v>
      </x:c>
      <x:c r="P26" s="23" t="str">
        <x:v>5 hours ago</x:v>
      </x:c>
      <x:c r="Q26" s="23" t="str">
        <x:v>United States</x:v>
      </x:c>
      <x:c r="R26" s="23" t="str">
        <x:v>https://www.upwork.com/jobs/Full-Stack-Automation-Engineer-Sales-Workflow-Platform_~022082076899341845245/?referrer_url_path=find_work_home</x:v>
      </x:c>
      <x:c r="S26" s="23" t="str">
        <x:v>AI-продукты и full-stack</x:v>
      </x:c>
      <x:c r="T26" s="23" t="str">
        <x:v>best_matches</x:v>
      </x:c>
    </x:row>
    <x:row r="27" ht="48" customHeight="1">
      <x:c r="A27" s="26" t="n">
        <x:v>23</x:v>
      </x:c>
      <x:c r="B27" s="23" t="str">
        <x:v>Upwork</x:v>
      </x:c>
      <x:c r="C27" s="23" t="str">
        <x:v>~022080605080475236242</x:v>
      </x:c>
      <x:c r="D27" s="23" t="str">
        <x:v>AI-продукты и full-stack</x:v>
      </x:c>
      <x:c r="E27" s="29" t="n">
        <x:v>85</x:v>
      </x:c>
      <x:c r="F27" s="23" t="str">
        <x:v>80-89% - сильное</x:v>
      </x:c>
      <x:c r="G27" s="23" t="str">
        <x:v>captured - recheck</x:v>
      </x:c>
      <x:c r="H27" s="23" t="str">
        <x:v>hourly</x:v>
      </x:c>
      <x:c r="I27" s="23" t="str">
        <x:v>Full-Stack AI Engineer for Logistics &amp; Supply Chain SaaS Automation &amp; AI Agent</x:v>
      </x:c>
      <x:c r="J27" s="23" t="str">
        <x:v>Нужно долгосрочно разрабатывать AI SaaS для логистики: агенты, автоматизированные процессы, backend API, React-интерфейсы, RAG, внешние интеграции и production-развертывание. Желателен опыт WMS, TMS, shipment tracking, inventory, procurement и ERP.</x:v>
      </x:c>
      <x:c r="K27" s="23" t="str">
        <x:v>Очень сильное техническое совпадение по TypeScript или JavaScript, React, AI-агентам, OpenAI и Anthropic, RAG, API и полноценной SaaS-разработке. Продуктовый контекст и повторно используемые модули близки Kora.</x:v>
      </x:c>
      <x:c r="L27" s="23" t="str">
        <x:v>Потребуются Python или FastAPI и подтвержденная логистическая экспертиза либо убедимый план закрытия этого gap. Ставка $15-35 сравнительно низкая, клиент без истории расходов, загрузка 30+ часов в неделю и более 50 заявок.</x:v>
      </x:c>
      <x:c r="M27" s="23" t="str">
        <x:v>Hourly: $15.00 - $35.00</x:v>
      </x:c>
      <x:c r="N27" s="23" t="str">
        <x:v>verified</x:v>
      </x:c>
      <x:c r="O27" s="26" t="str">
        <x:v>50+</x:v>
      </x:c>
      <x:c r="P27" s="23" t="str">
        <x:v>4 days ago</x:v>
      </x:c>
      <x:c r="Q27" s="23" t="str">
        <x:v>United States</x:v>
      </x:c>
      <x:c r="R27" s="23" t="str">
        <x:v>https://www.upwork.com/jobs/Full-Stack-span-class-highlight-span-Engineer-for-Logistics-amp-Supply-Chain-SaaS-span-class-highlight-Automation-span-amp-span-class-highlight-span-span-class-highlight-Agent-span_~022080605080475236242/?referrer_url_path=/nx/search/jobs/</x:v>
      </x:c>
      <x:c r="S27" s="23" t="str">
        <x:v>AI-продукты и full-stack</x:v>
      </x:c>
      <x:c r="T27" s="23" t="str">
        <x:v>search:AI agent automation:page4</x:v>
      </x:c>
    </x:row>
    <x:row r="28" ht="48" customHeight="1">
      <x:c r="A28" s="26" t="n">
        <x:v>24</x:v>
      </x:c>
      <x:c r="B28" s="23" t="str">
        <x:v>Upwork</x:v>
      </x:c>
      <x:c r="C28" s="23" t="str">
        <x:v>~022081838181027419548</x:v>
      </x:c>
      <x:c r="D28" s="23" t="str">
        <x:v>Автоматизация процессов и интеграции</x:v>
      </x:c>
      <x:c r="E28" s="29" t="n">
        <x:v>85</x:v>
      </x:c>
      <x:c r="F28" s="23" t="str">
        <x:v>80-89% - сильное</x:v>
      </x:c>
      <x:c r="G28" s="23" t="str">
        <x:v>captured - recheck</x:v>
      </x:c>
      <x:c r="H28" s="23" t="str">
        <x:v>hourly</x:v>
      </x:c>
      <x:c r="I28" s="23" t="str">
        <x:v>n8n Automation Developer for Commercial Restoration</x:v>
      </x:c>
      <x:c r="J28" s="23" t="str">
        <x:v>Нужно собрать в n8n MVP, который получает сообщения о пожарах, затоплениях и других происшествиях из открытых источников, очищает и удаляет дубли, извлекает данные через OpenAI, оценивает коммерческую значимость и сохраняет результат в PostgreSQL или Supabase. Для приоритетных событий система должна отправлять email-уведомления и вести базовые логи.</x:v>
      </x:c>
      <x:c r="K28" s="23" t="str">
        <x:v>n8n, JavaScript, REST API, webhooks, OpenAI, PostgreSQL, нормализация, дедупликация и alerts почти полностью совпадают с профильным workflow Kora. Первый milestone ограничен четким MVP и имеет высокую продуктовую переиспользуемость.</x:v>
      </x:c>
      <x:c r="L28" s="23" t="str">
        <x:v>Клиент без подтвержденной оплаты, рейтинга и расходов, нижняя граница ставки всего $5, а конкуренция 50+. Не определены конкретные источники и их условия доступа, что может сильно повлиять на надежность сбора.</x:v>
      </x:c>
      <x:c r="M28" s="23" t="str">
        <x:v>Hourly: $5-$35</x:v>
      </x:c>
      <x:c r="N28" s="23" t="str">
        <x:v>unverified</x:v>
      </x:c>
      <x:c r="O28" s="26" t="str">
        <x:v>50+</x:v>
      </x:c>
      <x:c r="P28" s="23" t="str">
        <x:v>21 hours ago</x:v>
      </x:c>
      <x:c r="Q28" s="23" t="str">
        <x:v>United States</x:v>
      </x:c>
      <x:c r="R28" s="23" t="str">
        <x:v>https://www.upwork.com/jobs/n8n-Automation-Developer-for-Commercial-Restoration_~022081838181027419548/?referrer_url_path=find_work_home</x:v>
      </x:c>
      <x:c r="S28" s="23" t="str">
        <x:v>Автоматизация процессов и интеграции</x:v>
      </x:c>
      <x:c r="T28" s="23" t="str">
        <x:v>best_matches</x:v>
      </x:c>
    </x:row>
    <x:row r="29" ht="48" customHeight="1">
      <x:c r="A29" s="26" t="n">
        <x:v>25</x:v>
      </x:c>
      <x:c r="B29" s="23" t="str">
        <x:v>Upwork</x:v>
      </x:c>
      <x:c r="C29" s="23" t="str">
        <x:v>~022080240455889528745</x:v>
      </x:c>
      <x:c r="D29" s="23" t="str">
        <x:v>AI-агенты и оркестрация</x:v>
      </x:c>
      <x:c r="E29" s="29" t="n">
        <x:v>85</x:v>
      </x:c>
      <x:c r="F29" s="23" t="str">
        <x:v>80-89% - сильное</x:v>
      </x:c>
      <x:c r="G29" s="23" t="str">
        <x:v>captured - recheck</x:v>
      </x:c>
      <x:c r="H29" s="23" t="str">
        <x:v>не указано</x:v>
      </x:c>
      <x:c r="I29" s="23" t="str">
        <x:v>Personal AI Assistant with Telegram, Web Automation and AI Agents</x:v>
      </x:c>
      <x:c r="J29" s="23" t="str">
        <x:v>Нужен персональный Telegram-ассистент, который ищет недвижимость и перевозчиков, связывается по email, назначает встречи, сравнивает предложения, понимает голосовые сообщения и формирует отчеты. Предпочтительный стек включает OpenAI, n8n, Gmail, Google Calendar, браузерную автоматизацию и PostgreSQL.</x:v>
      </x:c>
      <x:c r="K29" s="23" t="str">
        <x:v>Очень сильное совпадение с Telegram-first направлением Kora, агентами, web automation, API, календарем, памятью и выполнением реальных задач.</x:v>
      </x:c>
      <x:c r="L29" s="23" t="str">
        <x:v>Это точный дубль строки 91; клиент без подтвержденной оплаты и истории, а MVP за $1000 охватывает много рискованных внешних действий и требует четких границ автономности.</x:v>
      </x:c>
      <x:c r="M29" s="23" t="str">
        <x:v>$1,000.00</x:v>
      </x:c>
      <x:c r="N29" s="23" t="str">
        <x:v>unverified</x:v>
      </x:c>
      <x:c r="O29" s="26" t="str">
        <x:v>20 to 50</x:v>
      </x:c>
      <x:c r="P29" s="23" t="str">
        <x:v>5 days ago</x:v>
      </x:c>
      <x:c r="Q29" s="23" t="str">
        <x:v>Czech Republic</x:v>
      </x:c>
      <x:c r="R29" s="23" t="str">
        <x:v>https://www.upwork.com/jobs/Personal-span-class-highlight-span-Assistant-with-Telegram-Web-span-class-highlight-Automation-span-and-span-class-highlight-span-span-class-highlight-Agents-span_~022080240455889528745/?referrer_url_path=/nx/search/jobs/</x:v>
      </x:c>
      <x:c r="S29" s="23" t="str">
        <x:v>AI-агенты и оркестрация</x:v>
      </x:c>
      <x:c r="T29" s="23" t="str">
        <x:v>search:AI agent automation:page7</x:v>
      </x:c>
    </x:row>
    <x:row r="30" ht="48" customHeight="1">
      <x:c r="A30" s="26" t="n">
        <x:v>26</x:v>
      </x:c>
      <x:c r="B30" s="23" t="str">
        <x:v>Upwork</x:v>
      </x:c>
      <x:c r="C30" s="23" t="str">
        <x:v>~022080078611169450329</x:v>
      </x:c>
      <x:c r="D30" s="23" t="str">
        <x:v>AI-агенты и оркестрация</x:v>
      </x:c>
      <x:c r="E30" s="29" t="n">
        <x:v>85</x:v>
      </x:c>
      <x:c r="F30" s="23" t="str">
        <x:v>80-89% - сильное</x:v>
      </x:c>
      <x:c r="G30" s="23" t="str">
        <x:v>captured - recheck</x:v>
      </x:c>
      <x:c r="H30" s="23" t="str">
        <x:v>не указано</x:v>
      </x:c>
      <x:c r="I30" s="23" t="str">
        <x:v>Personal AI Assistant with Telegram, Web Automation and AI Agents</x:v>
      </x:c>
      <x:c r="J30" s="23" t="str">
        <x:v>Нужен персональный Telegram-ассистент, который ищет недвижимость и перевозчиков, связывается по email, назначает встречи, сравнивает предложения, понимает голосовые сообщения и формирует отчеты. Предпочтительный стек включает OpenAI, n8n, Gmail, Google Calendar, браузерную автоматизацию и PostgreSQL.</x:v>
      </x:c>
      <x:c r="K30" s="23" t="str">
        <x:v>Очень сильное совпадение с Telegram-first направлением Kora, агентами, web automation, API, календарем, памятью и выполнением реальных задач.</x:v>
      </x:c>
      <x:c r="L30" s="23" t="str">
        <x:v>Это точный дубль строки 88; клиент без подтвержденной оплаты и истории, а MVP за $1000 охватывает много рискованных внешних действий и требует четких границ автономности.</x:v>
      </x:c>
      <x:c r="M30" s="23" t="str">
        <x:v>$1,000.00</x:v>
      </x:c>
      <x:c r="N30" s="23" t="str">
        <x:v>unverified</x:v>
      </x:c>
      <x:c r="O30" s="26" t="str">
        <x:v>20 to 50</x:v>
      </x:c>
      <x:c r="P30" s="23" t="str">
        <x:v>5 days ago</x:v>
      </x:c>
      <x:c r="Q30" s="23" t="str">
        <x:v>Czech Republic</x:v>
      </x:c>
      <x:c r="R30" s="23" t="str">
        <x:v>https://www.upwork.com/jobs/Personal-span-class-highlight-span-Assistant-with-Telegram-Web-span-class-highlight-Automation-span-and-span-class-highlight-span-span-class-highlight-Agents-span_~022080078611169450329/?referrer_url_path=/nx/search/jobs/</x:v>
      </x:c>
      <x:c r="S30" s="23" t="str">
        <x:v>AI-агенты и оркестрация</x:v>
      </x:c>
      <x:c r="T30" s="23" t="str">
        <x:v>search:AI agent automation:page7</x:v>
      </x:c>
    </x:row>
    <x:row r="31" ht="48" customHeight="1">
      <x:c r="A31" s="26" t="n">
        <x:v>27</x:v>
      </x:c>
      <x:c r="B31" s="23" t="str">
        <x:v>Upwork</x:v>
      </x:c>
      <x:c r="C31" s="23" t="str">
        <x:v>~022080428939600210345</x:v>
      </x:c>
      <x:c r="D31" s="23" t="str">
        <x:v>Автоматизация процессов и интеграции</x:v>
      </x:c>
      <x:c r="E31" s="29" t="n">
        <x:v>85</x:v>
      </x:c>
      <x:c r="F31" s="23" t="str">
        <x:v>80-89% - сильное</x:v>
      </x:c>
      <x:c r="G31" s="23" t="str">
        <x:v>captured - recheck</x:v>
      </x:c>
      <x:c r="H31" s="23" t="str">
        <x:v>hourly</x:v>
      </x:c>
      <x:c r="I31" s="23" t="str">
        <x:v>Senior AI Automation Developer</x:v>
      </x:c>
      <x:c r="J31" s="23" t="str">
        <x:v>Ищут старшего разработчика для долгосрочного создания AI-агентов и автоматизаций, связывающих LLM с документами, email, календарями, системами управления проектами, базами и внутренними сервисами. Нужны RAG, structured outputs, tool calling, OAuth, webhooks и n8n, Make, Zapier или другие оркестраторы.</x:v>
      </x:c>
      <x:c r="K31" s="23" t="str">
        <x:v>TypeScript, LLM API, RAG, обработка документов, интеграции и событийные процессы почти полностью совпадают с техническим профилем Давида и направлением Kora. Клиент сильный: подтвержденная оплата, рейтинг 4.5 и более $1 млн расходов.</x:v>
      </x:c>
      <x:c r="L31" s="23" t="str">
        <x:v>Это занятость более шести месяцев и 30+ часов в неделю, а не компактный пилот. Ставка $15-35/час сравнительно низкая для senior-роли, требуется доказанный production-опыт и уже есть 50+ откликов.</x:v>
      </x:c>
      <x:c r="M31" s="23" t="str">
        <x:v>Hourly: $15.00 - $35.00</x:v>
      </x:c>
      <x:c r="N31" s="23" t="str">
        <x:v>verified</x:v>
      </x:c>
      <x:c r="O31" s="26" t="str">
        <x:v>50+</x:v>
      </x:c>
      <x:c r="P31" s="23" t="str">
        <x:v>4 days ago</x:v>
      </x:c>
      <x:c r="Q31" s="23" t="str">
        <x:v>Australia</x:v>
      </x:c>
      <x:c r="R31" s="23" t="str">
        <x:v>https://www.upwork.com/jobs/Senior-span-class-highlight-span-span-class-highlight-Automation-span-Developer_~022080428939600210345/?referrer_url_path=/nx/search/jobs/</x:v>
      </x:c>
      <x:c r="S31" s="23" t="str">
        <x:v>Автоматизация процессов и интеграции</x:v>
      </x:c>
      <x:c r="T31" s="23" t="str">
        <x:v>search:AI agent automation:page4</x:v>
      </x:c>
    </x:row>
    <x:row r="32" ht="48" customHeight="1">
      <x:c r="A32" s="26" t="n">
        <x:v>28</x:v>
      </x:c>
      <x:c r="B32" s="23" t="str">
        <x:v>Upwork</x:v>
      </x:c>
      <x:c r="C32" s="23" t="str">
        <x:v>~022078467296745591239</x:v>
      </x:c>
      <x:c r="D32" s="23" t="str">
        <x:v>AI-агенты и оркестрация</x:v>
      </x:c>
      <x:c r="E32" s="29" t="n">
        <x:v>80</x:v>
      </x:c>
      <x:c r="F32" s="23" t="str">
        <x:v>80-89% - сильное</x:v>
      </x:c>
      <x:c r="G32" s="23" t="str">
        <x:v>captured - recheck</x:v>
      </x:c>
      <x:c r="H32" s="23" t="str">
        <x:v>не указано</x:v>
      </x:c>
      <x:c r="I32" s="23" t="str">
        <x:v>AI Engineer: POC for Agentic AI Automation (LangGraph, Email/WhatsApp Automation)</x:v>
      </x:c>
      <x:c r="J32" s="23" t="str">
        <x:v>Нужен быстрый POC агентной автоматизации для одного или нескольких сценариев: извлечение данных из документов, обработка email, WhatsApp-ответчик и маршрутизация с вызовом инструментов. Результат должен включать рабочий прототип, демонстрацию и краткий разбор ограничений.</x:v>
      </x:c>
      <x:c r="K32" s="23" t="str">
        <x:v>Сильное совпадение по сообщениям, документам, structured output, API и human-in-the-loop, но Python, FastAPI и LangGraph находятся вне текущего core evidence Давида.</x:v>
      </x:c>
      <x:c r="L32" s="23" t="str">
        <x:v>В вакансии явно требуются Python, FastAPI и LangGraph/LangChain, а бюджет $140 выглядит низким даже для POC; клиент новый, конкуренция 20-50.</x:v>
      </x:c>
      <x:c r="M32" s="23" t="str">
        <x:v>$140.00</x:v>
      </x:c>
      <x:c r="N32" s="23" t="str">
        <x:v>verified</x:v>
      </x:c>
      <x:c r="O32" s="26" t="str">
        <x:v>20 to 50</x:v>
      </x:c>
      <x:c r="P32" s="23" t="str">
        <x:v>2 weeks ago</x:v>
      </x:c>
      <x:c r="Q32" s="23" t="str">
        <x:v>Saudi Arabia</x:v>
      </x:c>
      <x:c r="R32" s="23" t="str">
        <x:v>https://www.upwork.com/jobs/span-class-highlight-span-Engineer-POC-for-span-class-highlight-Agentic-span-span-class-highlight-span-span-class-highlight-Automation-span-LangGraph-Email-WhatsApp-span-class-highlight-Automation-span_~022078467296745591239/?referrer_url_path=/nx/search/jobs/</x:v>
      </x:c>
      <x:c r="S32" s="23" t="str">
        <x:v>AI-агенты и оркестрация</x:v>
      </x:c>
      <x:c r="T32" s="23" t="str">
        <x:v>search:AI agent automation:page6</x:v>
      </x:c>
    </x:row>
    <x:row r="33" ht="48" customHeight="1">
      <x:c r="A33" s="26" t="n">
        <x:v>29</x:v>
      </x:c>
      <x:c r="B33" s="23" t="str">
        <x:v>Upwork</x:v>
      </x:c>
      <x:c r="C33" s="23" t="str">
        <x:v>~022081620464434758397</x:v>
      </x:c>
      <x:c r="D33" s="23" t="str">
        <x:v>AI-агенты и оркестрация</x:v>
      </x:c>
      <x:c r="E33" s="29" t="n">
        <x:v>80</x:v>
      </x:c>
      <x:c r="F33" s="23" t="str">
        <x:v>80-89% - сильное</x:v>
      </x:c>
      <x:c r="G33" s="23" t="str">
        <x:v>captured - recheck</x:v>
      </x:c>
      <x:c r="H33" s="23" t="str">
        <x:v>не указано</x:v>
      </x:c>
      <x:c r="I33" s="23" t="str">
        <x:v>Agentic AI Automation Engineer — Python, Node.js &amp; TypeScript</x:v>
      </x:c>
      <x:c r="J33" s="23" t="str">
        <x:v>Нужно улучшить уже интегрированный agentic AI workflow на Python, Node.js и TypeScript: добавить OpenAI или Claude, RAG, structured prompting, tool calling, REST-интеграции, многошаговую бизнес-логику, retries и validation.</x:v>
      </x:c>
      <x:c r="K33" s="23" t="str">
        <x:v>Node.js/TypeScript, React, Claude/OpenAI, агенты, API, RAG и надежность почти полностью совпадают с технической работой Давида и Kora. Scope ограничен улучшением существующей интеграции, а клиент имеет подтвержденную оплату и рейтинг 5.0.</x:v>
      </x:c>
      <x:c r="L33" s="23" t="str">
        <x:v>Текущее состояние интеграции и конкретные критерии завершения не показаны. Бюджет $100 низок для перечисленного production-объема, у клиента всего $100+ расходов и уже 50+ предложений.</x:v>
      </x:c>
      <x:c r="M33" s="23" t="str">
        <x:v>$100.00</x:v>
      </x:c>
      <x:c r="N33" s="23" t="str">
        <x:v>verified</x:v>
      </x:c>
      <x:c r="O33" s="26" t="str">
        <x:v>50+</x:v>
      </x:c>
      <x:c r="P33" s="23" t="str">
        <x:v>yesterday</x:v>
      </x:c>
      <x:c r="Q33" s="23" t="str">
        <x:v>United States</x:v>
      </x:c>
      <x:c r="R33" s="23" t="str">
        <x:v>https://www.upwork.com/jobs/span-class-highlight-Agentic-span-span-class-highlight-span-span-class-highlight-Automation-span-Engineer-Python-Node-amp-TypeScript_~022081620464434758397/?referrer_url_path=/nx/search/jobs/</x:v>
      </x:c>
      <x:c r="S33" s="23" t="str">
        <x:v>AI-агенты и оркестрация</x:v>
      </x:c>
      <x:c r="T33" s="23" t="str">
        <x:v>search:AI agent automation:page1</x:v>
      </x:c>
    </x:row>
    <x:row r="34" ht="48" customHeight="1">
      <x:c r="A34" s="26" t="n">
        <x:v>30</x:v>
      </x:c>
      <x:c r="B34" s="23" t="str">
        <x:v>Upwork</x:v>
      </x:c>
      <x:c r="C34" s="23" t="str">
        <x:v>~022081979062959216028</x:v>
      </x:c>
      <x:c r="D34" s="23" t="str">
        <x:v>AI-агенты и оркестрация</x:v>
      </x:c>
      <x:c r="E34" s="29" t="n">
        <x:v>80</x:v>
      </x:c>
      <x:c r="F34" s="23" t="str">
        <x:v>80-89% - сильное</x:v>
      </x:c>
      <x:c r="G34" s="23" t="str">
        <x:v>captured - recheck</x:v>
      </x:c>
      <x:c r="H34" s="23" t="str">
        <x:v>не указано</x:v>
      </x:c>
      <x:c r="I34" s="23" t="str">
        <x:v>Ai Agents and business automation specialist</x:v>
      </x:c>
      <x:c r="J34" s="23" t="str">
        <x:v>Нужно выявлять повторяющиеся бизнес-процессы и превращать их в production AI-агентов для исследований, обработки данных, поддержки, отчетности и внутренних операций. Требуются API, CRM, базы, правила, human approval, логи, мониторинг, retries и документация.</x:v>
      </x:c>
      <x:c r="K34" s="23" t="str">
        <x:v>Архитектура почти точно отражает продуктовую гипотезу Kora: многошаговые агенты, tool calling, структурированные outputs, интеграции, контроль человеком и эксплуатационная надежность. Бюджет $4,800 и возможность долгосрочной работы делают сигнал коммерчески интересным.</x:v>
      </x:c>
      <x:c r="L34" s="23" t="str">
        <x:v>Клиент не подтвердил оплату, не имеет расходов и рейтинга, а предложений уже 50+. Первый этап фактически включает широкий процессный аудит, поэтому без жестко ограниченного пилота легко получить неопределенный или чрезмерный scope.</x:v>
      </x:c>
      <x:c r="M34" s="23" t="str">
        <x:v>$4,800.00</x:v>
      </x:c>
      <x:c r="N34" s="23" t="str">
        <x:v>unverified</x:v>
      </x:c>
      <x:c r="O34" s="26" t="str">
        <x:v>50+</x:v>
      </x:c>
      <x:c r="P34" s="23" t="str">
        <x:v>11 hours ago</x:v>
      </x:c>
      <x:c r="Q34" s="23" t="str">
        <x:v>United States</x:v>
      </x:c>
      <x:c r="R34" s="23" t="str">
        <x:v>https://www.upwork.com/jobs/span-class-highlight-span-span-class-highlight-Agents-span-and-business-span-class-highlight-automation-span-specialist_~022081979062959216028/?referrer_url_path=/nx/search/jobs/</x:v>
      </x:c>
      <x:c r="S34" s="23" t="str">
        <x:v>AI-агенты и оркестрация</x:v>
      </x:c>
      <x:c r="T34" s="23" t="str">
        <x:v>search:AI agent automation:page1</x:v>
      </x:c>
    </x:row>
    <x:row r="35" ht="48" customHeight="1">
      <x:c r="A35" s="26" t="n">
        <x:v>31</x:v>
      </x:c>
      <x:c r="B35" s="23" t="str">
        <x:v>Upwork</x:v>
      </x:c>
      <x:c r="C35" s="23" t="str">
        <x:v>~022079213925805439739</x:v>
      </x:c>
      <x:c r="D35" s="23" t="str">
        <x:v>Автоматизация процессов и интеграции</x:v>
      </x:c>
      <x:c r="E35" s="29" t="n">
        <x:v>80</x:v>
      </x:c>
      <x:c r="F35" s="23" t="str">
        <x:v>80-89% - сильное</x:v>
      </x:c>
      <x:c r="G35" s="23" t="str">
        <x:v>captured - recheck</x:v>
      </x:c>
      <x:c r="H35" s="23" t="str">
        <x:v>hourly</x:v>
      </x:c>
      <x:c r="I35" s="23" t="str">
        <x:v>AI automation expert.</x:v>
      </x:c>
      <x:c r="J35" s="23" t="str">
        <x:v>Бухгалтерская и налоговая фирма хочет автоматизировать продажи, CRM, email, запись, onboarding, сбор и OCR-обработку документов, внутреннюю базу знаний и отчетность. Стек включает OpenAI, Python, n8n, QuickBooks, TaxDome, Google Workspace и другие бизнес-системы.</x:v>
      </x:c>
      <x:c r="K35" s="23" t="str">
        <x:v>Сильное пересечение с Kora по агентам, CRM, n8n, сообщениям, документам, OCR, API и внутреннему knowledge assistant; клиент верифицирован и имеет рейтинг 5.0.</x:v>
      </x:c>
      <x:c r="L35" s="23" t="str">
        <x:v>Объем слишком широк для заявленного периода менее месяца, финансовые данные требуют безопасности и отраслевой компетенции; уже 50+ предложений, расходы клиента пока только $400+.</x:v>
      </x:c>
      <x:c r="M35" s="23" t="str">
        <x:v>Hourly</x:v>
      </x:c>
      <x:c r="N35" s="23" t="str">
        <x:v>verified</x:v>
      </x:c>
      <x:c r="O35" s="26" t="str">
        <x:v>50+</x:v>
      </x:c>
      <x:c r="P35" s="23" t="str">
        <x:v>last week</x:v>
      </x:c>
      <x:c r="Q35" s="23" t="str">
        <x:v>United States</x:v>
      </x:c>
      <x:c r="R35" s="23" t="str">
        <x:v>https://www.upwork.com/jobs/span-class-highlight-span-span-class-highlight-automation-span-expert_~022079213925805439739/?referrer_url_path=/nx/search/jobs/</x:v>
      </x:c>
      <x:c r="S35" s="23" t="str">
        <x:v>Автоматизация процессов и интеграции</x:v>
      </x:c>
      <x:c r="T35" s="23" t="str">
        <x:v>search:AI agent automation:page8</x:v>
      </x:c>
    </x:row>
    <x:row r="36" ht="48" customHeight="1">
      <x:c r="A36" s="26" t="n">
        <x:v>32</x:v>
      </x:c>
      <x:c r="B36" s="23" t="str">
        <x:v>Upwork</x:v>
      </x:c>
      <x:c r="C36" s="23" t="str">
        <x:v>~022081084136744384402</x:v>
      </x:c>
      <x:c r="D36" s="23" t="str">
        <x:v>Автоматизация процессов и интеграции</x:v>
      </x:c>
      <x:c r="E36" s="29" t="n">
        <x:v>80</x:v>
      </x:c>
      <x:c r="F36" s="23" t="str">
        <x:v>80-89% - сильное</x:v>
      </x:c>
      <x:c r="G36" s="23" t="str">
        <x:v>captured - recheck</x:v>
      </x:c>
      <x:c r="H36" s="23" t="str">
        <x:v>hourly</x:v>
      </x:c>
      <x:c r="I36" s="23" t="str">
        <x:v>AI Automation Specialist &amp; Technical Assistant</x:v>
      </x:c>
      <x:c r="J36" s="23" t="str">
        <x:v>Ищут технического помощника, который самостоятельно превращает операционные проблемы в AI-агентов, n8n или Make процессы, CRM и Google Workspace интеграции, обработку документов, research-пайплайны и внутренние инструменты. Работа также включает диагностику существующих автоматизаций, тестирование, документацию и рекомендации.</x:v>
      </x:c>
      <x:c r="K36" s="23" t="str">
        <x:v>Агенты, Codex и Claude Code, JavaScript, API, CRM, документы, OCR и самостоятельное ведение автоматизаций очень хорошо совпадают с практическим профилем Давида. Клиент имеет подтвержденную оплату, рейтинг 5.0 и более $4000 расходов; тест заявлен как платный.</x:v>
      </x:c>
      <x:c r="L36" s="23" t="str">
        <x:v>Это смешанная долгосрочная роль на 30+ часов в неделю с техническими, исследовательскими и ассистентскими обязанностями, а ставка не указана. Есть проекты с юридическими и другими чувствительными документами, откликов 50+.</x:v>
      </x:c>
      <x:c r="M36" s="23" t="str">
        <x:v>Hourly</x:v>
      </x:c>
      <x:c r="N36" s="23" t="str">
        <x:v>verified</x:v>
      </x:c>
      <x:c r="O36" s="26" t="str">
        <x:v>50+</x:v>
      </x:c>
      <x:c r="P36" s="23" t="str">
        <x:v>3 days ago</x:v>
      </x:c>
      <x:c r="Q36" s="23" t="str">
        <x:v>USA</x:v>
      </x:c>
      <x:c r="R36" s="23" t="str">
        <x:v>https://www.upwork.com/jobs/span-class-highlight-span-span-class-highlight-Automation-span-Specialist-amp-Technical-Assistant_~022081084136744384402/?referrer_url_path=/nx/search/jobs/</x:v>
      </x:c>
      <x:c r="S36" s="23" t="str">
        <x:v>Автоматизация процессов и интеграции</x:v>
      </x:c>
      <x:c r="T36" s="23" t="str">
        <x:v>search:AI agent automation:page6</x:v>
      </x:c>
    </x:row>
    <x:row r="37" ht="48" customHeight="1">
      <x:c r="A37" s="26" t="n">
        <x:v>33</x:v>
      </x:c>
      <x:c r="B37" s="23" t="str">
        <x:v>Upwork</x:v>
      </x:c>
      <x:c r="C37" s="23" t="str">
        <x:v>~022078850501176828106</x:v>
      </x:c>
      <x:c r="D37" s="23" t="str">
        <x:v>Автоматизация процессов и интеграции</x:v>
      </x:c>
      <x:c r="E37" s="29" t="n">
        <x:v>80</x:v>
      </x:c>
      <x:c r="F37" s="23" t="str">
        <x:v>80-89% - сильное</x:v>
      </x:c>
      <x:c r="G37" s="23" t="str">
        <x:v>captured - recheck</x:v>
      </x:c>
      <x:c r="H37" s="23" t="str">
        <x:v>hourly</x:v>
      </x:c>
      <x:c r="I37" s="23" t="str">
        <x:v>AI System Architect / Executive Automation Engineer</x:v>
      </x:c>
      <x:c r="J37" s="23" t="str">
        <x:v>Предприниматель хочет поэтапно создать личную AI-операционную систему для нескольких компаний: объединить почту, календари, документы, финансы, знания, задачи и специализированных агентов. Первым этапом будет аудит текущих систем и разработка дорожной карты.</x:v>
      </x:c>
      <x:c r="K37" s="23" t="str">
        <x:v>Высокий technical fit по агентам, RAG, документам, OpenAI/Claude, n8n, API и бизнес-автоматизации; клиент с подтвержденной историей и долгосрочным намерением.</x:v>
      </x:c>
      <x:c r="L37" s="23" t="str">
        <x:v>Слишком широкий контур для одного исполнителя, нужен сильный опыт Microsoft 365, финансовых и корпоративных интеграций; 30+ часов в неделю и 50+ предложений.</x:v>
      </x:c>
      <x:c r="M37" s="23" t="str">
        <x:v>Hourly: $20.00 - $60.00</x:v>
      </x:c>
      <x:c r="N37" s="23" t="str">
        <x:v>verified</x:v>
      </x:c>
      <x:c r="O37" s="26" t="str">
        <x:v>50+</x:v>
      </x:c>
      <x:c r="P37" s="23" t="str">
        <x:v>last week</x:v>
      </x:c>
      <x:c r="Q37" s="23" t="str">
        <x:v>Switzerland</x:v>
      </x:c>
      <x:c r="R37" s="23" t="str">
        <x:v>https://www.upwork.com/jobs/span-class-highlight-span-System-Architect-Executive-span-class-highlight-Automation-span-Engineer_~022078850501176828106/?referrer_url_path=/nx/search/jobs/</x:v>
      </x:c>
      <x:c r="S37" s="23" t="str">
        <x:v>Автоматизация процессов и интеграции</x:v>
      </x:c>
      <x:c r="T37" s="23" t="str">
        <x:v>search:AI agent automation:page6</x:v>
      </x:c>
    </x:row>
    <x:row r="38" ht="48" customHeight="1">
      <x:c r="A38" s="26" t="n">
        <x:v>34</x:v>
      </x:c>
      <x:c r="B38" s="23" t="str">
        <x:v>Upwork</x:v>
      </x:c>
      <x:c r="C38" s="23" t="str">
        <x:v>~022082145570552293800</x:v>
      </x:c>
      <x:c r="D38" s="23" t="str">
        <x:v>AI-продукты и full-stack</x:v>
      </x:c>
      <x:c r="E38" s="29" t="n">
        <x:v>80</x:v>
      </x:c>
      <x:c r="F38" s="23" t="str">
        <x:v>80-89% - сильное</x:v>
      </x:c>
      <x:c r="G38" s="23" t="str">
        <x:v>captured - recheck</x:v>
      </x:c>
      <x:c r="H38" s="23" t="str">
        <x:v>не указано</x:v>
      </x:c>
      <x:c r="I38" s="23" t="str">
        <x:v>Full-Stack Developer (AI vibe coding/Automation Specialist) – Anthropic Claude API, Agentic.</x:v>
      </x:c>
      <x:c r="J38" s="23" t="str">
        <x:v>Нужно строить full-stack внутренние инструменты и agentic workflows на Claude API: React или Next.js, Node.js/TypeScript либо Python, базы данных, tool calling, RAG, MCP, внешние API и CI/CD. Также ожидаются guardrails, контроль токенов и надежность длительных AI-задач.</x:v>
      </x:c>
      <x:c r="K38" s="23" t="str">
        <x:v>Стек почти напрямую совпадает с Давидом и Kora: Claude, агенты, Node.js/TypeScript, React, API, MCP, RAG и надежные workflow. У клиента подтвержденная оплата, рейтинг 5.0, $6K+ расходов и только 5-10 предложений.</x:v>
      </x:c>
      <x:c r="L38" s="23" t="str">
        <x:v>Заявленный объем похож на полноценную production-платформу, но фиксированный бюджет всего $100, поэтому экономика и границы проекта выглядят несогласованно. Клиент требует ссылки на релевантные публичные работы и подтвержденный опыт Claude tool calling.</x:v>
      </x:c>
      <x:c r="M38" s="23" t="str">
        <x:v>$100</x:v>
      </x:c>
      <x:c r="N38" s="23" t="str">
        <x:v>verified</x:v>
      </x:c>
      <x:c r="O38" s="26" t="str">
        <x:v>5 to 10</x:v>
      </x:c>
      <x:c r="P38" s="23" t="str">
        <x:v>45 minutes ago</x:v>
      </x:c>
      <x:c r="Q38" s="23" t="str">
        <x:v>India</x:v>
      </x:c>
      <x:c r="R38" s="23" t="str">
        <x:v>https://www.upwork.com/jobs/Full-Stack-Developer-vibe-coding-Automation-Specialist-Anthropic-Claude-API-Agentic_~022082145570552293800/?referrer_url_path=find_work_home</x:v>
      </x:c>
      <x:c r="S38" s="23" t="str">
        <x:v>AI-продукты и full-stack</x:v>
      </x:c>
      <x:c r="T38" s="23" t="str">
        <x:v>best_matches</x:v>
      </x:c>
    </x:row>
    <x:row r="39" ht="48" customHeight="1">
      <x:c r="A39" s="26" t="n">
        <x:v>35</x:v>
      </x:c>
      <x:c r="B39" s="23" t="str">
        <x:v>Upwork</x:v>
      </x:c>
      <x:c r="C39" s="23" t="str">
        <x:v>~022081456862377359533</x:v>
      </x:c>
      <x:c r="D39" s="23" t="str">
        <x:v>Контент и медиа</x:v>
      </x:c>
      <x:c r="E39" s="29" t="n">
        <x:v>80</x:v>
      </x:c>
      <x:c r="F39" s="23" t="str">
        <x:v>80-89% - сильное</x:v>
      </x:c>
      <x:c r="G39" s="23" t="str">
        <x:v>captured - recheck</x:v>
      </x:c>
      <x:c r="H39" s="23" t="str">
        <x:v>не указано</x:v>
      </x:c>
      <x:c r="I39" s="23" t="str">
        <x:v>Hermes Agent developer for SEO automation</x:v>
      </x:c>
      <x:c r="J39" s="23" t="str">
        <x:v>Требуется развернуть Hermes Agent и построить многопользовательскую SEO-систему для двух независимых бизнесов: исследования, кластеры ключей, контент, WordPress-черновики, Telegram-согласование, мониторинг и аудит. Данные, учетные записи, память и workflow каждого tenant должны быть строго изолированы.</x:v>
      </x:c>
      <x:c r="K39" s="23" t="str">
        <x:v>Сильный fit по агентной архитектуре, API, Telegram, human-in-the-loop, журналам и повторно используемому multi-tenant продукту. Требования и acceptance tests описаны очень подробно.</x:v>
      </x:c>
      <x:c r="L39" s="23" t="str">
        <x:v>Нужны знания Hermes, WordPress, Google Search Console, DataForSEO и SEO-процессов, а также серьезная безопасность tenant isolation. Объем до 120 часов выглядит несоразмерным фиксированному бюджету $750, конкуренция 20-50 заявок.</x:v>
      </x:c>
      <x:c r="M39" s="23" t="str">
        <x:v>$750.00</x:v>
      </x:c>
      <x:c r="N39" s="23" t="str">
        <x:v>verified</x:v>
      </x:c>
      <x:c r="O39" s="26" t="str">
        <x:v>20 to 50</x:v>
      </x:c>
      <x:c r="P39" s="23" t="str">
        <x:v>2 days ago</x:v>
      </x:c>
      <x:c r="Q39" s="23" t="str">
        <x:v>United States</x:v>
      </x:c>
      <x:c r="R39" s="23" t="str">
        <x:v>https://www.upwork.com/jobs/Hermes-span-class-highlight-Agent-span-developer-for-SEO-span-class-highlight-automation-span_~022081456862377359533/?referrer_url_path=/nx/search/jobs/</x:v>
      </x:c>
      <x:c r="S39" s="23" t="str">
        <x:v>Контент и маркетинговая автоматизация</x:v>
      </x:c>
      <x:c r="T39" s="23" t="str">
        <x:v>search:AI agent automation:page2</x:v>
      </x:c>
    </x:row>
    <x:row r="40" ht="48" customHeight="1">
      <x:c r="A40" s="26" t="n">
        <x:v>36</x:v>
      </x:c>
      <x:c r="B40" s="23" t="str">
        <x:v>Upwork</x:v>
      </x:c>
      <x:c r="C40" s="23" t="str">
        <x:v>~022082116475484824757</x:v>
      </x:c>
      <x:c r="D40" s="23" t="str">
        <x:v>RAG и базы знаний</x:v>
      </x:c>
      <x:c r="E40" s="29" t="n">
        <x:v>80</x:v>
      </x:c>
      <x:c r="F40" s="23" t="str">
        <x:v>80-89% - сильное</x:v>
      </x:c>
      <x:c r="G40" s="23" t="str">
        <x:v>captured - recheck</x:v>
      </x:c>
      <x:c r="H40" s="23" t="str">
        <x:v>hourly</x:v>
      </x:c>
      <x:c r="I40" s="23" t="str">
        <x:v>Hive Second Brains: Shared Agentic Knowledge/Ontology Infrastructure + Graph RAG System</x:v>
      </x:c>
      <x:c r="J40" s="23" t="str">
        <x:v>Медиа-компании нужна общая база знаний из Slack, Notion, Zoom и записей встреч с извлечением решений, задач, владельцев и сроков. Система должна поддерживать Graph RAG, поиск через Slack, связи между источниками, ролевой доступ и более 200 одновременных пользователей.</x:v>
      </x:c>
      <x:c r="K40" s="23" t="str">
        <x:v>RAG, LLM-извлечение, Slack API, векторный поиск и контекст между источниками хорошо соответствуют AI и интеграционному профилю. Клиент очень сильный: подтвержденная оплата, рейтинг 4,7, более $2M расходов и ставка $50.</x:v>
      </x:c>
      <x:c r="L40" s="23" t="str">
        <x:v>Это большая enterprise-система на 30+ часов в неделю и более шести месяцев, а Graph RAG, RBAC и масштаб 200 пользователей повышают архитектурную сложность. Уже 50+ предложений.</x:v>
      </x:c>
      <x:c r="M40" s="23" t="str">
        <x:v>Hourly: $50</x:v>
      </x:c>
      <x:c r="N40" s="23" t="str">
        <x:v>verified</x:v>
      </x:c>
      <x:c r="O40" s="26" t="str">
        <x:v>50+</x:v>
      </x:c>
      <x:c r="P40" s="23" t="str">
        <x:v>2 hours ago</x:v>
      </x:c>
      <x:c r="Q40" s="23" t="str">
        <x:v>United States</x:v>
      </x:c>
      <x:c r="R40" s="23" t="str">
        <x:v>https://www.upwork.com/jobs/Hive-Second-Brains-Shared-Agentic-Knowledge-Ontology-Infrastructure-Graph-RAG-System_~022082116475484824757/?referrer_url_path=find_work_home</x:v>
      </x:c>
      <x:c r="S40" s="23" t="str">
        <x:v>RAG и базы знаний</x:v>
      </x:c>
      <x:c r="T40" s="23" t="str">
        <x:v>best_matches</x:v>
      </x:c>
    </x:row>
    <x:row r="41" ht="48" customHeight="1">
      <x:c r="A41" s="26" t="n">
        <x:v>37</x:v>
      </x:c>
      <x:c r="B41" s="23" t="str">
        <x:v>Upwork</x:v>
      </x:c>
      <x:c r="C41" s="23" t="str">
        <x:v>~022074277236675775197</x:v>
      </x:c>
      <x:c r="D41" s="23" t="str">
        <x:v>AI-агенты и оркестрация</x:v>
      </x:c>
      <x:c r="E41" s="29" t="n">
        <x:v>80</x:v>
      </x:c>
      <x:c r="F41" s="23" t="str">
        <x:v>80-89% - сильное</x:v>
      </x:c>
      <x:c r="G41" s="23" t="str">
        <x:v>captured - recheck</x:v>
      </x:c>
      <x:c r="H41" s="23" t="str">
        <x:v>hourly</x:v>
      </x:c>
      <x:c r="I41" s="23" t="str">
        <x:v>Lead AI Automation Engineer (AI Agents &amp; Business Systems)</x:v>
      </x:c>
      <x:c r="J41" s="23" t="str">
        <x:v>Мебельная компания ищет долгосрочного инженера для AI-операционной системы, объединяющей Odoo, CRM, аналитику, email и другие данные. Требуются агенты, workflow, приоритетные списки, управленческие рекомендации и компактные dashboards.</x:v>
      </x:c>
      <x:c r="K41" s="23" t="str">
        <x:v>Очень сильное совпадение по AI-агентам, OpenAI/Claude, API, n8n, данным и автоматизации бизнес-процессов с повторно используемыми Kora-модулями.</x:v>
      </x:c>
      <x:c r="L41" s="23" t="str">
        <x:v>Роль широкая и долгосрочная, Odoo и data engineering являются отдельными требованиями; у клиента хорошая история, но уже 50+ предложений.</x:v>
      </x:c>
      <x:c r="M41" s="23" t="str">
        <x:v>Hourly: $10.00 - $80.00</x:v>
      </x:c>
      <x:c r="N41" s="23" t="str">
        <x:v>verified</x:v>
      </x:c>
      <x:c r="O41" s="26" t="str">
        <x:v>50+</x:v>
      </x:c>
      <x:c r="P41" s="23" t="str">
        <x:v>3 weeks ago</x:v>
      </x:c>
      <x:c r="Q41" s="23" t="str">
        <x:v>Australia</x:v>
      </x:c>
      <x:c r="R41" s="23" t="str">
        <x:v>https://www.upwork.com/jobs/Lead-span-class-highlight-span-span-class-highlight-Automation-span-Engineer-span-class-highlight-span-span-class-highlight-Agents-span-amp-Business-Systems_~022074277236675775197/?referrer_url_path=/nx/search/jobs/</x:v>
      </x:c>
      <x:c r="S41" s="23" t="str">
        <x:v>AI-агенты и оркестрация</x:v>
      </x:c>
      <x:c r="T41" s="23" t="str">
        <x:v>search:AI agent automation:page7</x:v>
      </x:c>
    </x:row>
    <x:row r="42" ht="48" customHeight="1">
      <x:c r="A42" s="26" t="n">
        <x:v>38</x:v>
      </x:c>
      <x:c r="B42" s="23" t="str">
        <x:v>Upwork</x:v>
      </x:c>
      <x:c r="C42" s="23" t="str">
        <x:v>~022081981698283788279</x:v>
      </x:c>
      <x:c r="D42" s="23" t="str">
        <x:v>Чат-боты, поддержка и CRM</x:v>
      </x:c>
      <x:c r="E42" s="29" t="n">
        <x:v>80</x:v>
      </x:c>
      <x:c r="F42" s="23" t="str">
        <x:v>80-89% - сильное</x:v>
      </x:c>
      <x:c r="G42" s="23" t="str">
        <x:v>captured - recheck</x:v>
      </x:c>
      <x:c r="H42" s="23" t="str">
        <x:v>hourly</x:v>
      </x:c>
      <x:c r="I42" s="23" t="str">
        <x:v>WhatsApp bot giving wrong answers, need small fix</x:v>
      </x:c>
      <x:c r="J42" s="23" t="str">
        <x:v>Нужно диагностировать и точечно исправить WhatsApp-бота на Make.com и OpenAI API, который начал неправильно отвечать клиентам о статусе заказов. Клиент просит найти ошибку в промпте или логике сценария без полной перестройки.</x:v>
      </x:c>
      <x:c r="K42" s="23" t="str">
        <x:v>Небольшая диагностика LLM-workflow, проверка логики и повышение надежности очень близки к агентной инженерии Давида и могут усилить направление Kora по контролю качества ответов. Задача конкретная, короткая, а клиент подтвержден, имеет рейтинг 5.0 и $1K+ расходов.</x:v>
      </x:c>
      <x:c r="L42" s="23" t="str">
        <x:v>Клиент просит именно практический опыт с Make.com и WhatsApp, который не подтвержден. Первопричина пока неизвестна, ставка не показана, конкуренция 20-50 предложений.</x:v>
      </x:c>
      <x:c r="M42" s="23" t="str">
        <x:v>Hourly</x:v>
      </x:c>
      <x:c r="N42" s="23" t="str">
        <x:v>verified</x:v>
      </x:c>
      <x:c r="O42" s="26" t="str">
        <x:v>20 to 50</x:v>
      </x:c>
      <x:c r="P42" s="23" t="str">
        <x:v>11 hours ago</x:v>
      </x:c>
      <x:c r="Q42" s="23" t="str">
        <x:v>Nigeria</x:v>
      </x:c>
      <x:c r="R42" s="23" t="str">
        <x:v>https://www.upwork.com/jobs/WhatsApp-bot-giving-wrong-answers-need-small-fix_~022081981698283788279/?referrer_url_path=find_work_home</x:v>
      </x:c>
      <x:c r="S42" s="23" t="str">
        <x:v>Чат-боты, поддержка и CRM</x:v>
      </x:c>
      <x:c r="T42" s="23" t="str">
        <x:v>best_matches</x:v>
      </x:c>
    </x:row>
    <x:row r="43" ht="48" customHeight="1">
      <x:c r="A43" s="26" t="n">
        <x:v>39</x:v>
      </x:c>
      <x:c r="B43" s="23" t="str">
        <x:v>Upwork</x:v>
      </x:c>
      <x:c r="C43" s="23" t="str">
        <x:v>~022080037748505517610</x:v>
      </x:c>
      <x:c r="D43" s="23" t="str">
        <x:v>Чат-боты, поддержка и CRM</x:v>
      </x:c>
      <x:c r="E43" s="29" t="n">
        <x:v>75</x:v>
      </x:c>
      <x:c r="F43" s="23" t="str">
        <x:v>70-79% - хорошее</x:v>
      </x:c>
      <x:c r="G43" s="23" t="str">
        <x:v>captured - recheck</x:v>
      </x:c>
      <x:c r="H43" s="23" t="str">
        <x:v>не указано</x:v>
      </x:c>
      <x:c r="I43" s="23" t="str">
        <x:v>Agentic AI Customer Support System for Real Estate Business</x:v>
      </x:c>
      <x:c r="J43" s="23" t="str">
        <x:v>Для агентства недвижимости требуется conversational sales-агент: отвечать на вопросы, квалифицировать лидов, отрабатывать типовые возражения, назначать встречи и передавать данные и историю разговора в CRM. Возможен чат и голосовой канал.</x:v>
      </x:c>
      <x:c r="K43" s="23" t="str">
        <x:v>Хорошее совпадение по AI-агенту, CRM, квалификации входящих лидов, календарю и последующим автоматизациям; механика хорошо переиспользуется в Kora.</x:v>
      </x:c>
      <x:c r="L43" s="23" t="str">
        <x:v>Нужны production-примеры sales-агентов и, возможно, voice-опыт. Клиент подтвержден, но без истории расходов; фиксированный бюджет $200 низок для полного scope, конкуренция 20-50 заявок.</x:v>
      </x:c>
      <x:c r="M43" s="23" t="str">
        <x:v>$200.00</x:v>
      </x:c>
      <x:c r="N43" s="23" t="str">
        <x:v>verified</x:v>
      </x:c>
      <x:c r="O43" s="26" t="str">
        <x:v>20 to 50</x:v>
      </x:c>
      <x:c r="P43" s="23" t="str">
        <x:v>5 days ago</x:v>
      </x:c>
      <x:c r="Q43" s="23" t="str">
        <x:v>PRT</x:v>
      </x:c>
      <x:c r="R43" s="23" t="str">
        <x:v>https://www.upwork.com/jobs/span-class-highlight-Agentic-span-span-class-highlight-span-Customer-Support-System-for-Real-Estate-Business_~022080037748505517610/?referrer_url_path=/nx/search/jobs/</x:v>
      </x:c>
      <x:c r="S43" s="23" t="str">
        <x:v>Чат-боты, поддержка и CRM</x:v>
      </x:c>
      <x:c r="T43" s="23" t="str">
        <x:v>search:AI agent automation:page4</x:v>
      </x:c>
    </x:row>
    <x:row r="44" ht="48" customHeight="1">
      <x:c r="A44" s="26" t="n">
        <x:v>40</x:v>
      </x:c>
      <x:c r="B44" s="23" t="str">
        <x:v>Upwork</x:v>
      </x:c>
      <x:c r="C44" s="23" t="str">
        <x:v>~022072326457921207805</x:v>
      </x:c>
      <x:c r="D44" s="23" t="str">
        <x:v>Автоматизация процессов и интеграции</x:v>
      </x:c>
      <x:c r="E44" s="29" t="n">
        <x:v>75</x:v>
      </x:c>
      <x:c r="F44" s="23" t="str">
        <x:v>70-79% - хорошее</x:v>
      </x:c>
      <x:c r="G44" s="23" t="str">
        <x:v>captured - recheck</x:v>
      </x:c>
      <x:c r="H44" s="23" t="str">
        <x:v>hourly</x:v>
      </x:c>
      <x:c r="I44" s="23" t="str">
        <x:v>AI / Automation Engineer – Build an Automated Financial Data-to-Report Pipeline</x:v>
      </x:c>
      <x:c r="J44" s="23" t="str">
        <x:v>Нужно построить повторяемый конвейер, который регулярно получает финансовые данные компаний, анализирует их с учетом рынка через LLM, формирует стандартизированный понятный отчет и автоматически проверяет качество результата. Исполнитель должен спроектировать, реализовать и затем поддерживать систему.</x:v>
      </x:c>
      <x:c r="K44" s="23" t="str">
        <x:v>Многошаговый AI-workflow, внешние источники данных, фиксированный structured output, автоматическая проверка и эксплуатация хорошо соответствуют навыкам автоматизации и production-подходу Давида. Пилот на малой выборке дает разумную точку входа, а клиент имеет рейтинг 5.0 и более $4000 расходов.</x:v>
      </x:c>
      <x:c r="L44" s="23" t="str">
        <x:v>Финансовые данные и проверка численных выводов требуют доменной компетенции и строгой валидации, а ставка не указана. Нужны примеры сопоставимых пайплайнов, возможен NDA, откликов 50+.</x:v>
      </x:c>
      <x:c r="M44" s="23" t="str">
        <x:v>Hourly</x:v>
      </x:c>
      <x:c r="N44" s="23" t="str">
        <x:v>verified</x:v>
      </x:c>
      <x:c r="O44" s="26" t="str">
        <x:v>50+</x:v>
      </x:c>
      <x:c r="P44" s="23" t="str">
        <x:v>4 weeks ago</x:v>
      </x:c>
      <x:c r="Q44" s="23" t="str">
        <x:v>Switzerland</x:v>
      </x:c>
      <x:c r="R44" s="23" t="str">
        <x:v>https://www.upwork.com/jobs/span-class-highlight-span-span-class-highlight-Automation-span-Engineer-Build-span-class-highlight-Automated-span-Financial-Data-Report-Pipeline_~022072326457921207805/?referrer_url_path=/nx/search/jobs/</x:v>
      </x:c>
      <x:c r="S44" s="23" t="str">
        <x:v>Автоматизация процессов и интеграции</x:v>
      </x:c>
      <x:c r="T44" s="23" t="str">
        <x:v>search:AI agent automation:page5</x:v>
      </x:c>
    </x:row>
    <x:row r="45" ht="48" customHeight="1">
      <x:c r="A45" s="26" t="n">
        <x:v>41</x:v>
      </x:c>
      <x:c r="B45" s="23" t="str">
        <x:v>Upwork</x:v>
      </x:c>
      <x:c r="C45" s="23" t="str">
        <x:v>~022067263498206845131</x:v>
      </x:c>
      <x:c r="D45" s="23" t="str">
        <x:v>AI-агенты и оркестрация</x:v>
      </x:c>
      <x:c r="E45" s="29" t="n">
        <x:v>75</x:v>
      </x:c>
      <x:c r="F45" s="23" t="str">
        <x:v>70-79% - хорошее</x:v>
      </x:c>
      <x:c r="G45" s="23" t="str">
        <x:v>captured - recheck</x:v>
      </x:c>
      <x:c r="H45" s="23" t="str">
        <x:v>hourly</x:v>
      </x:c>
      <x:c r="I45" s="23" t="str">
        <x:v>AI Agent developer – Multi-Agent system Automation &amp; LLM Orchestration Platform (Production Systems)</x:v>
      </x:c>
      <x:c r="J45" s="23" t="str">
        <x:v>Требуется спроектировать production-grade многоагентную платформу для внутренних процессов, интеграций, RAG, памяти, принятия решений с проверками и human-in-the-loop. В состав входят центральный оркестратор, очереди, мониторинг, audit trail и масштабируемый backend.</x:v>
      </x:c>
      <x:c r="K45" s="23" t="str">
        <x:v>Архитектура агентов, tool calling, API, PostgreSQL, RAG, журналирование и контроль действий очень близки к Kora. Повторное использование продуктовых наработок высокое, но основной стек и требования сильнее смещены к Python, FastAPI, Redis и Celery.</x:v>
      </x:c>
      <x:c r="L45" s="23" t="str">
        <x:v>Объем похож на полноценную платформу, а не небольшой соло-пилот. У клиента подтверждена оплата, но $0 расходов и нет рейтинга; ставка имеет слишком широкий диапазон $19-99, откликов 50+.</x:v>
      </x:c>
      <x:c r="M45" s="23" t="str">
        <x:v>Hourly: $19.00 - $99.00</x:v>
      </x:c>
      <x:c r="N45" s="23" t="str">
        <x:v>verified</x:v>
      </x:c>
      <x:c r="O45" s="26" t="str">
        <x:v>50+</x:v>
      </x:c>
      <x:c r="P45" s="23" t="str">
        <x:v>last month</x:v>
      </x:c>
      <x:c r="Q45" s="23" t="str">
        <x:v>United States</x:v>
      </x:c>
      <x:c r="R45" s="23" t="str">
        <x:v>https://www.upwork.com/jobs/span-class-highlight-span-span-class-highlight-Agent-span-developer-Multi-span-class-highlight-Agent-span-system-span-class-highlight-Automation-span-amp-LLM-Orchestration-Platform-Production-Systems_~022067263498206845131/?referrer_url_path=/nx/search/jobs/</x:v>
      </x:c>
      <x:c r="S45" s="23" t="str">
        <x:v>AI-агенты и оркестрация</x:v>
      </x:c>
      <x:c r="T45" s="23" t="str">
        <x:v>search:AI agent automation:page4</x:v>
      </x:c>
    </x:row>
    <x:row r="46" ht="48" customHeight="1">
      <x:c r="A46" s="26" t="n">
        <x:v>42</x:v>
      </x:c>
      <x:c r="B46" s="23" t="str">
        <x:v>Upwork</x:v>
      </x:c>
      <x:c r="C46" s="23" t="str">
        <x:v>~022079236014340896590</x:v>
      </x:c>
      <x:c r="D46" s="23" t="str">
        <x:v>RAG и базы знаний</x:v>
      </x:c>
      <x:c r="E46" s="29" t="n">
        <x:v>75</x:v>
      </x:c>
      <x:c r="F46" s="23" t="str">
        <x:v>70-79% - хорошее</x:v>
      </x:c>
      <x:c r="G46" s="23" t="str">
        <x:v>captured - recheck</x:v>
      </x:c>
      <x:c r="H46" s="23" t="str">
        <x:v>hourly</x:v>
      </x:c>
      <x:c r="I46" s="23" t="str">
        <x:v>AI Agent Developer (Python/FastAPI) – RAG, Pinecone &amp; LLM Automation Expert Needed</x:v>
      </x:c>
      <x:c r="J46" s="23" t="str">
        <x:v>Требуется спроектировать production-ready RAG-систему с автономными агентами: ingestion документов, chunking, embeddings, Pinecone hybrid search, tool calling, память, evaluation, observability и deployment. Backend должен быть асинхронным на FastAPI, с несколькими LLM-провайдерами и хорошо протестированным Python-кодом.</x:v>
      </x:c>
      <x:c r="K46" s="23" t="str">
        <x:v>RAG, агенты, OpenAI и Claude, tool calling, memory, оценка качества и production-надежность пересекаются с архитектурой и продуктом Kora. Scope подробно описан, ставка $25-50/час, клиент подтвердил оплату и имеет рейтинг 5.0.</x:v>
      </x:c>
      <x:c r="L46" s="23" t="str">
        <x:v>Требуются конкретные подтвержденные проекты с Pinecone, FastAPI и Python, которых нельзя считать имеющимися без портфолио Давида. У клиента лишь более $100 расходов, роль предполагает 30+ часов в неделю и уже имеет 50+ откликов.</x:v>
      </x:c>
      <x:c r="M46" s="23" t="str">
        <x:v>Hourly: $25.00 - $50.00</x:v>
      </x:c>
      <x:c r="N46" s="23" t="str">
        <x:v>verified</x:v>
      </x:c>
      <x:c r="O46" s="26" t="str">
        <x:v>50+</x:v>
      </x:c>
      <x:c r="P46" s="23" t="str">
        <x:v>last week</x:v>
      </x:c>
      <x:c r="Q46" s="23" t="str">
        <x:v>United States</x:v>
      </x:c>
      <x:c r="R46" s="23" t="str">
        <x:v>https://www.upwork.com/jobs/span-class-highlight-span-span-class-highlight-Agent-span-Developer-Python-FastAPI-RAG-Pinecone-amp-LLM-span-class-highlight-Automation-span-Expert-Needed_~022079236014340896590/?referrer_url_path=/nx/search/jobs/</x:v>
      </x:c>
      <x:c r="S46" s="23" t="str">
        <x:v>RAG и базы знаний</x:v>
      </x:c>
      <x:c r="T46" s="23" t="str">
        <x:v>search:AI agent automation:page6</x:v>
      </x:c>
    </x:row>
    <x:row r="47" ht="48" customHeight="1">
      <x:c r="A47" s="26" t="n">
        <x:v>43</x:v>
      </x:c>
      <x:c r="B47" s="23" t="str">
        <x:v>Upwork</x:v>
      </x:c>
      <x:c r="C47" s="23" t="str">
        <x:v>~022057432879073492507</x:v>
      </x:c>
      <x:c r="D47" s="23" t="str">
        <x:v>AI-агенты и оркестрация</x:v>
      </x:c>
      <x:c r="E47" s="29" t="n">
        <x:v>75</x:v>
      </x:c>
      <x:c r="F47" s="23" t="str">
        <x:v>70-79% - хорошее</x:v>
      </x:c>
      <x:c r="G47" s="23" t="str">
        <x:v>captured - recheck</x:v>
      </x:c>
      <x:c r="H47" s="23" t="str">
        <x:v>hourly</x:v>
      </x:c>
      <x:c r="I47" s="23" t="str">
        <x:v>AI Agent Developer for Healthcare, Logistics &amp; Business Automation</x:v>
      </x:c>
      <x:c r="J47" s="23" t="str">
        <x:v>Ищут разработчика production-ready AI-агентов, RAG, памяти, tool calling и workflow-автоматизаций для проектов в healthcare, логистике, финансах, ecommerce и внутренних операциях. Допускаются Node.js, Express или Nest, OpenAI, Claude, базы, API, React и no-code оркестраторы.</x:v>
      </x:c>
      <x:c r="K47" s="23" t="str">
        <x:v>Node.js, React, LLM API, агенты, RAG, базы и внешние интеграции хорошо совпадают с навыками Давида и архитектурой Kora. Заявка охватывает много потенциально переиспользуемых продуктовых компонентов.</x:v>
      </x:c>
      <x:c r="L47" s="23" t="str">
        <x:v>Нет одного определенного проекта, результата и критериев приемки, а часть доменов регулируемая и требует отдельной осторожности. У клиента подтверждена оплата, но $0 расходов и нет рейтинга; ставка $19-40 и 50+ откликов.</x:v>
      </x:c>
      <x:c r="M47" s="23" t="str">
        <x:v>Hourly: $19.00 - $40.00</x:v>
      </x:c>
      <x:c r="N47" s="23" t="str">
        <x:v>verified</x:v>
      </x:c>
      <x:c r="O47" s="26" t="str">
        <x:v>50+</x:v>
      </x:c>
      <x:c r="P47" s="23" t="str">
        <x:v>2 months ago</x:v>
      </x:c>
      <x:c r="Q47" s="23" t="str">
        <x:v>United States</x:v>
      </x:c>
      <x:c r="R47" s="23" t="str">
        <x:v>https://www.upwork.com/jobs/span-class-highlight-span-span-class-highlight-Agent-span-Developer-for-Healthcare-Logistics-amp-Business-span-class-highlight-Automation-span_~022057432879073492507/?referrer_url_path=/nx/search/jobs/</x:v>
      </x:c>
      <x:c r="S47" s="23" t="str">
        <x:v>AI-агенты и оркестрация</x:v>
      </x:c>
      <x:c r="T47" s="23" t="str">
        <x:v>search:AI agent automation:page5</x:v>
      </x:c>
    </x:row>
    <x:row r="48" ht="48" customHeight="1">
      <x:c r="A48" s="26" t="n">
        <x:v>44</x:v>
      </x:c>
      <x:c r="B48" s="23" t="str">
        <x:v>Upwork</x:v>
      </x:c>
      <x:c r="C48" s="23" t="str">
        <x:v>~022080940319229875612</x:v>
      </x:c>
      <x:c r="D48" s="23" t="str">
        <x:v>AI-агенты и оркестрация</x:v>
      </x:c>
      <x:c r="E48" s="29" t="n">
        <x:v>75</x:v>
      </x:c>
      <x:c r="F48" s="23" t="str">
        <x:v>70-79% - хорошее</x:v>
      </x:c>
      <x:c r="G48" s="23" t="str">
        <x:v>captured - recheck</x:v>
      </x:c>
      <x:c r="H48" s="23" t="str">
        <x:v>hourly</x:v>
      </x:c>
      <x:c r="I48" s="23" t="str">
        <x:v>AI Automation Developers — Build Production AI Agents for Real Businesses</x:v>
      </x:c>
      <x:c r="J48" s="23" t="str">
        <x:v>Команда ищет разработчиков для клиентских AI-систем малого бизнеса: голосовые агенты, разбор email и web-запросов, CRM, календарь, черновики с human approval и полный аудит. Работа сочетает n8n, Make или Zapier с кастомной логикой на Python; старт через платное тестовое задание.</x:v>
      </x:c>
      <x:c r="K48" s="23" t="str">
        <x:v>Предмет задач почти совпадает с Kora по сообщениям, CRM, scheduling, human-in-the-loop, журналам и гибридной автоматизации. Возможна повторяющаяся работа на нескольких реальных проектах.</x:v>
      </x:c>
      <x:c r="L48" s="23" t="str">
        <x:v>Это набор будущих клиентских задач, а не определенный проект, поэтому scope до теста неизвестен. Ставка $10-20 и тест за $50 низкие, у клиента нет истории расходов, конкуренция 20-50 заявок.</x:v>
      </x:c>
      <x:c r="M48" s="23" t="str">
        <x:v>Hourly: $10.00 - $20.00</x:v>
      </x:c>
      <x:c r="N48" s="23" t="str">
        <x:v>verified</x:v>
      </x:c>
      <x:c r="O48" s="26" t="str">
        <x:v>20 to 50</x:v>
      </x:c>
      <x:c r="P48" s="23" t="str">
        <x:v>3 days ago</x:v>
      </x:c>
      <x:c r="Q48" s="23" t="str">
        <x:v>Nigeria</x:v>
      </x:c>
      <x:c r="R48" s="23" t="str">
        <x:v>https://www.upwork.com/jobs/span-class-highlight-span-span-class-highlight-Automation-span-Developers-Build-Production-span-class-highlight-span-span-class-highlight-Agents-span-for-Real-Businesses_~022080940319229875612/?referrer_url_path=/nx/search/jobs/</x:v>
      </x:c>
      <x:c r="S48" s="23" t="str">
        <x:v>AI-агенты и оркестрация</x:v>
      </x:c>
      <x:c r="T48" s="23" t="str">
        <x:v>search:AI agent automation:page4</x:v>
      </x:c>
    </x:row>
    <x:row r="49" ht="48" customHeight="1">
      <x:c r="A49" s="26" t="n">
        <x:v>45</x:v>
      </x:c>
      <x:c r="B49" s="23" t="str">
        <x:v>Upwork</x:v>
      </x:c>
      <x:c r="C49" s="23" t="str">
        <x:v>~022080855166147943356</x:v>
      </x:c>
      <x:c r="D49" s="23" t="str">
        <x:v>Автоматизация процессов и интеграции</x:v>
      </x:c>
      <x:c r="E49" s="29" t="n">
        <x:v>75</x:v>
      </x:c>
      <x:c r="F49" s="23" t="str">
        <x:v>70-79% - хорошее</x:v>
      </x:c>
      <x:c r="G49" s="23" t="str">
        <x:v>captured - recheck</x:v>
      </x:c>
      <x:c r="H49" s="23" t="str">
        <x:v>hourly</x:v>
      </x:c>
      <x:c r="I49" s="23" t="str">
        <x:v>AI Automation Engineer for Claude System</x:v>
      </x:c>
      <x:c r="J49" s="23" t="str">
        <x:v>Нужно стабилизировать и улучшить существующую систему автоматизации prospecting, которая связывает Claude, Slack и Google Sheets. Главный фокус - надежность интеграций и улучшение текущего процесса.</x:v>
      </x:c>
      <x:c r="K49" s="23" t="str">
        <x:v>Claude, Slack, Sheets и ремонт существующей автоматизации хорошо совпадают с интеграционным и reliability-профилем Давида. Ставка $30-70/час и более $1000 расходов клиента делают небольшой диагностический вход потенциально разумным.</x:v>
      </x:c>
      <x:c r="L49" s="23" t="str">
        <x:v>Описание короткое: неизвестны текущая архитектура, симптомы, объем данных и критерии стабилизации. У клиента нет отображаемого рейтинга, откликов 50+.</x:v>
      </x:c>
      <x:c r="M49" s="23" t="str">
        <x:v>Hourly: $30.00 - $70.00</x:v>
      </x:c>
      <x:c r="N49" s="23" t="str">
        <x:v>verified</x:v>
      </x:c>
      <x:c r="O49" s="26" t="str">
        <x:v>50+</x:v>
      </x:c>
      <x:c r="P49" s="23" t="str">
        <x:v>3 days ago</x:v>
      </x:c>
      <x:c r="Q49" s="23" t="str">
        <x:v>United States</x:v>
      </x:c>
      <x:c r="R49" s="23" t="str">
        <x:v>https://www.upwork.com/jobs/span-class-highlight-span-span-class-highlight-Automation-span-Engineer-for-Claude-System_~022080855166147943356/?referrer_url_path=/nx/search/jobs/</x:v>
      </x:c>
      <x:c r="S49" s="23" t="str">
        <x:v>Автоматизация процессов и интеграции</x:v>
      </x:c>
      <x:c r="T49" s="23" t="str">
        <x:v>search:AI agent automation:page5</x:v>
      </x:c>
    </x:row>
    <x:row r="50" ht="48" customHeight="1">
      <x:c r="A50" s="26" t="n">
        <x:v>46</x:v>
      </x:c>
      <x:c r="B50" s="23" t="str">
        <x:v>Upwork</x:v>
      </x:c>
      <x:c r="C50" s="23" t="str">
        <x:v>~022080599799066783346</x:v>
      </x:c>
      <x:c r="D50" s="23" t="str">
        <x:v>AI-продукты и full-stack</x:v>
      </x:c>
      <x:c r="E50" s="29" t="n">
        <x:v>75</x:v>
      </x:c>
      <x:c r="F50" s="23" t="str">
        <x:v>70-79% - хорошее</x:v>
      </x:c>
      <x:c r="G50" s="23" t="str">
        <x:v>captured - recheck</x:v>
      </x:c>
      <x:c r="H50" s="23" t="str">
        <x:v>hourly</x:v>
      </x:c>
      <x:c r="I50" s="23" t="str">
        <x:v>AI Automation SaaS Platform Development (LLMs, AI Agents &amp; Workflow Automation)</x:v>
      </x:c>
      <x:c r="J50" s="23" t="str">
        <x:v>Заказчик хочет полноценную multi-tenant SaaS-платформу для AI-workflows и агентов с чат-интерфейсом, OpenAI, Slack, Gmail и WhatsApp, аутентификацией, подписками, админкой и аналитикой. Предпочтительны React или Next.js, Node.js или Python, базы, AWS, Docker и vector DB.</x:v>
      </x:c>
      <x:c r="K50" s="23" t="str">
        <x:v>Функции и стек очень близки к Kora: агенты, React, Node.js, интеграции, multi-tenancy, подписки и облачная эксплуатация. Продуктовые наработки могут переиспользоваться почти напрямую.</x:v>
      </x:c>
      <x:c r="L50" s="23" t="str">
        <x:v>Это разработка целой SaaS-платформы, причем заказчик прямо ищет команду и долгосрочного партнера, поэтому соло-реализация за 1-3 месяца рискованна. Клиент потратил только $30, ставка $15-30/час низкая, откликов 50+.</x:v>
      </x:c>
      <x:c r="M50" s="23" t="str">
        <x:v>Hourly: $15.00 - $30.00</x:v>
      </x:c>
      <x:c r="N50" s="23" t="str">
        <x:v>verified</x:v>
      </x:c>
      <x:c r="O50" s="26" t="str">
        <x:v>50+</x:v>
      </x:c>
      <x:c r="P50" s="23" t="str">
        <x:v>4 days ago</x:v>
      </x:c>
      <x:c r="Q50" s="23" t="str">
        <x:v>United States</x:v>
      </x:c>
      <x:c r="R50" s="23" t="str">
        <x:v>https://www.upwork.com/jobs/span-class-highlight-span-span-class-highlight-Automation-span-SaaS-Platform-Development-LLMs-span-class-highlight-span-span-class-highlight-Agents-span-amp-Workflow-span-class-highlight-Automation-span_~022080599799066783346/?referrer_url_path=/nx/search/jobs/</x:v>
      </x:c>
      <x:c r="S50" s="23" t="str">
        <x:v>AI-продукты и full-stack</x:v>
      </x:c>
      <x:c r="T50" s="23" t="str">
        <x:v>search:AI agent automation:page5</x:v>
      </x:c>
    </x:row>
    <x:row r="51" ht="48" customHeight="1">
      <x:c r="A51" s="26" t="n">
        <x:v>47</x:v>
      </x:c>
      <x:c r="B51" s="23" t="str">
        <x:v>Upwork</x:v>
      </x:c>
      <x:c r="C51" s="23" t="str">
        <x:v>~022079574409825003019</x:v>
      </x:c>
      <x:c r="D51" s="23" t="str">
        <x:v>Автоматизация процессов и интеграции</x:v>
      </x:c>
      <x:c r="E51" s="29" t="n">
        <x:v>75</x:v>
      </x:c>
      <x:c r="F51" s="23" t="str">
        <x:v>70-79% - хорошее</x:v>
      </x:c>
      <x:c r="G51" s="23" t="str">
        <x:v>captured - recheck</x:v>
      </x:c>
      <x:c r="H51" s="23" t="str">
        <x:v>hourly</x:v>
      </x:c>
      <x:c r="I51" s="23" t="str">
        <x:v>AI AutomationSpecialist</x:v>
      </x:c>
      <x:c r="J51" s="23" t="str">
        <x:v>Нужен специалист для поиска, разработки и сопровождения AI-автоматизаций между CRM, коммуникационными сервисами, API, таблицами, базами и внутренними процессами. В задачи входят обработка документов и данных, отчетность, OCR, агенты, документация и передача знаний.</x:v>
      </x:c>
      <x:c r="K51" s="23" t="str">
        <x:v>Интеграции, JavaScript, REST API, LLM, n8n, Make, CRM и документные процессы хорошо совпадают с опытом Давида и переиспользуемыми частями Kora. Клиент надежный по метаданным: рейтинг 4.7 и более $1 млн расходов.</x:v>
      </x:c>
      <x:c r="L51" s="23" t="str">
        <x:v>Роль широкая, рассчитана на 3-6 месяцев и множество параллельных инициатив без первого четкого deliverable. Ставка $20-28/час низкая для требуемого уровня, откликов 50+.</x:v>
      </x:c>
      <x:c r="M51" s="23" t="str">
        <x:v>Hourly: $20.00 - $28.00</x:v>
      </x:c>
      <x:c r="N51" s="23" t="str">
        <x:v>verified</x:v>
      </x:c>
      <x:c r="O51" s="26" t="str">
        <x:v>50+</x:v>
      </x:c>
      <x:c r="P51" s="23" t="str">
        <x:v>last week</x:v>
      </x:c>
      <x:c r="Q51" s="23" t="str">
        <x:v>United States</x:v>
      </x:c>
      <x:c r="R51" s="23" t="str">
        <x:v>https://www.upwork.com/jobs/span-class-highlight-span-span-class-highlight-Automation-span-Specialist_~022079574409825003019/?referrer_url_path=/nx/search/jobs/</x:v>
      </x:c>
      <x:c r="S51" s="23" t="str">
        <x:v>Автоматизация процессов и интеграции</x:v>
      </x:c>
      <x:c r="T51" s="23" t="str">
        <x:v>search:AI agent automation:page5</x:v>
      </x:c>
    </x:row>
    <x:row r="52" ht="48" customHeight="1">
      <x:c r="A52" s="26" t="n">
        <x:v>48</x:v>
      </x:c>
      <x:c r="B52" s="23" t="str">
        <x:v>Upwork</x:v>
      </x:c>
      <x:c r="C52" s="23" t="str">
        <x:v>~022076227899193770195</x:v>
      </x:c>
      <x:c r="D52" s="23" t="str">
        <x:v>Автоматизация процессов и интеграции</x:v>
      </x:c>
      <x:c r="E52" s="29" t="n">
        <x:v>75</x:v>
      </x:c>
      <x:c r="F52" s="23" t="str">
        <x:v>70-79% - хорошее</x:v>
      </x:c>
      <x:c r="G52" s="23" t="str">
        <x:v>captured - recheck</x:v>
      </x:c>
      <x:c r="H52" s="23" t="str">
        <x:v>не указано</x:v>
      </x:c>
      <x:c r="I52" s="23" t="str">
        <x:v>AI Developer Needed for Custom AI Automation Systems</x:v>
      </x:c>
      <x:c r="J52" s="23" t="str">
        <x:v>AI-консалтинг ищет white-label контрактного разработчика для четырехнедельных проектов по автоматизации документов, внутренних процессов, RAG и structured outputs. Проекты заранее формализуются, первая неделя отводится на proof of concept, затем нужны production-реализация, тесты, мониторинг, документация и runbook.</x:v>
      </x:c>
      <x:c r="K52" s="23" t="str">
        <x:v>Типовые процессы, LLM API, RAG, интеграции, критерии приемки и unattended production-системы близки к инженерному подходу Давида и могут дать повторяемые шаблоны для Kora. Scope каждого проекта выглядит лучше ограниченным, чем у большинства карточек.</x:v>
      </x:c>
      <x:c r="L52" s="23" t="str">
        <x:v>Основной стек Python, работа white-label и полная передача IP уменьшают продуктовую ценность. Оплата клиента не подтверждена, расходов и рейтинга нет; $2500 платятся после завершения и приемки, есть NDA, договор и practice assignment.</x:v>
      </x:c>
      <x:c r="M52" s="23" t="str">
        <x:v>$2,500.00</x:v>
      </x:c>
      <x:c r="N52" s="23" t="str">
        <x:v>unverified</x:v>
      </x:c>
      <x:c r="O52" s="26" t="str">
        <x:v>20 to 50</x:v>
      </x:c>
      <x:c r="P52" s="23" t="str">
        <x:v>2 weeks ago</x:v>
      </x:c>
      <x:c r="Q52" s="23" t="str">
        <x:v>Netherlands</x:v>
      </x:c>
      <x:c r="R52" s="23" t="str">
        <x:v>https://www.upwork.com/jobs/span-class-highlight-span-Developer-Needed-for-Custom-span-class-highlight-span-span-class-highlight-Automation-span-Systems_~022076227899193770195/?referrer_url_path=/nx/search/jobs/</x:v>
      </x:c>
      <x:c r="S52" s="23" t="str">
        <x:v>Автоматизация процессов и интеграции</x:v>
      </x:c>
      <x:c r="T52" s="23" t="str">
        <x:v>search:AI agent automation:page5</x:v>
      </x:c>
    </x:row>
    <x:row r="53" ht="48" customHeight="1">
      <x:c r="A53" s="26" t="n">
        <x:v>49</x:v>
      </x:c>
      <x:c r="B53" s="23" t="str">
        <x:v>Upwork</x:v>
      </x:c>
      <x:c r="C53" s="23" t="str">
        <x:v>~022082128125190292221</x:v>
      </x:c>
      <x:c r="D53" s="23" t="str">
        <x:v>Автоматизация процессов и интеграции</x:v>
      </x:c>
      <x:c r="E53" s="29" t="n">
        <x:v>75</x:v>
      </x:c>
      <x:c r="F53" s="23" t="str">
        <x:v>70-79% - хорошее</x:v>
      </x:c>
      <x:c r="G53" s="23" t="str">
        <x:v>captured - recheck</x:v>
      </x:c>
      <x:c r="H53" s="23" t="str">
        <x:v>hourly</x:v>
      </x:c>
      <x:c r="I53" s="23" t="str">
        <x:v>AI/Automation Developer – Python, LLMs (ChatGPT, Gemini), Workflow Optimization</x:v>
      </x:c>
      <x:c r="J53" s="23" t="str">
        <x:v>Ищут долгосрочного разработчика для автоматизации внутренних процессов, интеграции ChatGPT, Gemini или Claude, разработки AI-агентов и улучшения корпоративных сайтов. Начало предполагается с небольшого оплачиваемого теста.</x:v>
      </x:c>
      <x:c r="K53" s="23" t="str">
        <x:v>Автоматизация, API, LLM, React и Node.js хорошо совпадают с профилем Давида, а опыт может частично переиспользоваться для Kora. У клиента подтвержденная оплата, рейтинг 4,9 и более $40K расходов.</x:v>
      </x:c>
      <x:c r="L53" s="23" t="str">
        <x:v>Роль очень широкая, рассчитана более чем на шесть месяцев и 30+ часов в неделю, при этом Python предпочитается, а ставка указана всего $10-$25. Конкуренция уже 50+ предложений.</x:v>
      </x:c>
      <x:c r="M53" s="23" t="str">
        <x:v>Hourly: $10-$25</x:v>
      </x:c>
      <x:c r="N53" s="23" t="str">
        <x:v>verified</x:v>
      </x:c>
      <x:c r="O53" s="26" t="str">
        <x:v>50+</x:v>
      </x:c>
      <x:c r="P53" s="23" t="str">
        <x:v>1 hour ago</x:v>
      </x:c>
      <x:c r="Q53" s="23" t="str">
        <x:v>United States</x:v>
      </x:c>
      <x:c r="R53" s="23" t="str">
        <x:v>https://www.upwork.com/jobs/Automation-Developer-Python-LLMs-ChatGPT-Gemini-Workflow-Optimization_~022082128125190292221/?referrer_url_path=find_work_home</x:v>
      </x:c>
      <x:c r="S53" s="23" t="str">
        <x:v>Автоматизация процессов и интеграции</x:v>
      </x:c>
      <x:c r="T53" s="23" t="str">
        <x:v>best_matches</x:v>
      </x:c>
    </x:row>
    <x:row r="54" ht="48" customHeight="1">
      <x:c r="A54" s="26" t="n">
        <x:v>50</x:v>
      </x:c>
      <x:c r="B54" s="23" t="str">
        <x:v>Upwork</x:v>
      </x:c>
      <x:c r="C54" s="23" t="str">
        <x:v>~022074931751140268364</x:v>
      </x:c>
      <x:c r="D54" s="23" t="str">
        <x:v>AI-агенты и оркестрация</x:v>
      </x:c>
      <x:c r="E54" s="29" t="n">
        <x:v>75</x:v>
      </x:c>
      <x:c r="F54" s="23" t="str">
        <x:v>70-79% - хорошее</x:v>
      </x:c>
      <x:c r="G54" s="23" t="str">
        <x:v>captured - recheck</x:v>
      </x:c>
      <x:c r="H54" s="23" t="str">
        <x:v>hourly</x:v>
      </x:c>
      <x:c r="I54" s="23" t="str">
        <x:v>Junior Automation Engineer, AI Agents &amp; Integrations (Trial to Ongoing)</x:v>
      </x:c>
      <x:c r="J54" s="23" t="str">
        <x:v>Консалтинг нанимает младших инженеров для сборки ботов и knowledge-систем в существующем фреймворке. Проекты связывают Gmail, Calendar, Notion, Airtable и Canva через Composio, Zapier, MCP и Python; сначала предусмотрен платный тест.</x:v>
      </x:c>
      <x:c r="K54" s="23" t="str">
        <x:v>Хорошее совпадение по агентам, MCP, внешним API, вебхукам, интеграциям и самостоятельной реализации задач от идеи до работающего результата.</x:v>
      </x:c>
      <x:c r="L54" s="23" t="str">
        <x:v>Основной язык указан Python, желателен опыт Composio и существующих bot frameworks. Ставка $10-30, клиент без истории, более 50 заявок и предпочтение рабочего времени по Pacific timezone снижают привлекательность.</x:v>
      </x:c>
      <x:c r="M54" s="23" t="str">
        <x:v>Hourly: $10.00 - $30.00</x:v>
      </x:c>
      <x:c r="N54" s="23" t="str">
        <x:v>verified</x:v>
      </x:c>
      <x:c r="O54" s="26" t="str">
        <x:v>50+</x:v>
      </x:c>
      <x:c r="P54" s="23" t="str">
        <x:v>3 weeks ago</x:v>
      </x:c>
      <x:c r="Q54" s="23" t="str">
        <x:v>USA</x:v>
      </x:c>
      <x:c r="R54" s="23" t="str">
        <x:v>https://www.upwork.com/jobs/Junior-span-class-highlight-Automation-span-Engineer-span-class-highlight-span-span-class-highlight-Agents-span-amp-Integrations-Trial-Ongoing_~022074931751140268364/?referrer_url_path=/nx/search/jobs/</x:v>
      </x:c>
      <x:c r="S54" s="23" t="str">
        <x:v>AI-агенты и оркестрация</x:v>
      </x:c>
      <x:c r="T54" s="23" t="str">
        <x:v>search:AI agent automation:page3</x:v>
      </x:c>
    </x:row>
    <x:row r="55" ht="48" customHeight="1">
      <x:c r="A55" s="26" t="n">
        <x:v>51</x:v>
      </x:c>
      <x:c r="B55" s="23" t="str">
        <x:v>Upwork</x:v>
      </x:c>
      <x:c r="C55" s="23" t="str">
        <x:v>~022081833254755580077</x:v>
      </x:c>
      <x:c r="D55" s="23" t="str">
        <x:v>RAG и базы знаний</x:v>
      </x:c>
      <x:c r="E55" s="29" t="n">
        <x:v>75</x:v>
      </x:c>
      <x:c r="F55" s="23" t="str">
        <x:v>70-79% - хорошее</x:v>
      </x:c>
      <x:c r="G55" s="23" t="str">
        <x:v>captured - recheck</x:v>
      </x:c>
      <x:c r="H55" s="23" t="str">
        <x:v>не указано</x:v>
      </x:c>
      <x:c r="I55" s="23" t="str">
        <x:v>RAG Chatbot Developer - LangChain + Vector Search over Internal Docs</x:v>
      </x:c>
      <x:c r="J55" s="23" t="str">
        <x:v>Нужно за 5-7 дней построить RAG-чатбота по внутренним документам: ingestion и chunking, Pinecone или pgvector, ответы с обязательными ссылками на источники, честный отказ при отсутствии ответа и небольшой веб-интерфейс.</x:v>
      </x:c>
      <x:c r="K55" s="23" t="str">
        <x:v>Node.js допускается, а RAG, API, интерфейс, grounded answers и fail-closed поведение хорошо сочетаются с инженерным профилем Давида и качественным агентным продуктом. Критерии приемки, срок и бюджет $500 сформулированы ясно.</x:v>
      </x:c>
      <x:c r="L55" s="23" t="str">
        <x:v>Заказчик требует примеры реально выпущенных RAG-систем и обоснование chunking/embeddings, а такое портфолио не подтверждено. Оплата не подтверждена, расходов нет и уже 50+ предложений.</x:v>
      </x:c>
      <x:c r="M55" s="23" t="str">
        <x:v>$500</x:v>
      </x:c>
      <x:c r="N55" s="23" t="str">
        <x:v>unverified</x:v>
      </x:c>
      <x:c r="O55" s="26" t="str">
        <x:v>50+</x:v>
      </x:c>
      <x:c r="P55" s="23" t="str">
        <x:v>21 hours ago</x:v>
      </x:c>
      <x:c r="Q55" s="23" t="str">
        <x:v>Germany</x:v>
      </x:c>
      <x:c r="R55" s="23" t="str">
        <x:v>https://www.upwork.com/jobs/RAG-Chatbot-Developer-LangChain-Vector-Search-over-Internal-Docs_~022081833254755580077/?referrer_url_path=find_work_home</x:v>
      </x:c>
      <x:c r="S55" s="23" t="str">
        <x:v>RAG и базы знаний</x:v>
      </x:c>
      <x:c r="T55" s="23" t="str">
        <x:v>best_matches</x:v>
      </x:c>
    </x:row>
    <x:row r="56" ht="48" customHeight="1">
      <x:c r="A56" s="26" t="n">
        <x:v>52</x:v>
      </x:c>
      <x:c r="B56" s="23" t="str">
        <x:v>Upwork</x:v>
      </x:c>
      <x:c r="C56" s="23" t="str">
        <x:v>~022081745575182341532</x:v>
      </x:c>
      <x:c r="D56" s="23" t="str">
        <x:v>Автоматизация процессов и интеграции</x:v>
      </x:c>
      <x:c r="E56" s="29" t="n">
        <x:v>75</x:v>
      </x:c>
      <x:c r="F56" s="23" t="str">
        <x:v>70-79% - хорошее</x:v>
      </x:c>
      <x:c r="G56" s="23" t="str">
        <x:v>captured - recheck</x:v>
      </x:c>
      <x:c r="H56" s="23" t="str">
        <x:v>не указано</x:v>
      </x:c>
      <x:c r="I56" s="23" t="str">
        <x:v>Senior AI Automation Engineer | AI Agents | OpenAI | n8n</x:v>
      </x:c>
      <x:c r="J56" s="23" t="str">
        <x:v>Нужно строить production AI-автоматизации на n8n, Make или Zapier, создавать агентов и RAG, интегрировать LLM с CRM, базами и API, а также обеспечивать надежность, безопасность, мониторинг и документацию.</x:v>
      </x:c>
      <x:c r="K56" s="23" t="str">
        <x:v>JavaScript/TypeScript, OpenAI/Claude, агенты, RAG, API, CRM и production-инженерия дают сильное совпадение с Давидом и Kora. Задача отражает повторяемый продуктовый спрос на надежные бизнес-workflow.</x:v>
      </x:c>
      <x:c r="L56" s="23" t="str">
        <x:v>Scope похож на широкий набор постоянных обязанностей, но фиксированный бюджет равен $250. У клиента подтверждена оплата, однако нет расходов и рейтинга; уже 20-50 предложений, а 3+ года профильной automation-практики и конкретные кейсы должны быть доказаны.</x:v>
      </x:c>
      <x:c r="M56" s="23" t="str">
        <x:v>$250.00</x:v>
      </x:c>
      <x:c r="N56" s="23" t="str">
        <x:v>verified</x:v>
      </x:c>
      <x:c r="O56" s="26" t="str">
        <x:v>20 to 50</x:v>
      </x:c>
      <x:c r="P56" s="23" t="str">
        <x:v>yesterday</x:v>
      </x:c>
      <x:c r="Q56" s="23" t="str">
        <x:v>United Kingdom</x:v>
      </x:c>
      <x:c r="R56" s="23" t="str">
        <x:v>https://www.upwork.com/jobs/Senior-span-class-highlight-span-span-class-highlight-Automation-span-Engineer-span-class-highlight-span-span-class-highlight-Agents-span-Open-span-class-highlight-span-n8n_~022081745575182341532/?referrer_url_path=/nx/search/jobs/</x:v>
      </x:c>
      <x:c r="S56" s="23" t="str">
        <x:v>Автоматизация процессов и интеграции</x:v>
      </x:c>
      <x:c r="T56" s="23" t="str">
        <x:v>search:AI agent automation:page2</x:v>
      </x:c>
    </x:row>
    <x:row r="57" ht="48" customHeight="1">
      <x:c r="A57" s="26" t="n">
        <x:v>53</x:v>
      </x:c>
      <x:c r="B57" s="23" t="str">
        <x:v>Upwork</x:v>
      </x:c>
      <x:c r="C57" s="23" t="str">
        <x:v>~022082068615769369000</x:v>
      </x:c>
      <x:c r="D57" s="23" t="str">
        <x:v>AI-агенты и оркестрация</x:v>
      </x:c>
      <x:c r="E57" s="29" t="n">
        <x:v>70</x:v>
      </x:c>
      <x:c r="F57" s="23" t="str">
        <x:v>70-79% - хорошее</x:v>
      </x:c>
      <x:c r="G57" s="23" t="str">
        <x:v>captured - recheck</x:v>
      </x:c>
      <x:c r="H57" s="23" t="str">
        <x:v>hourly</x:v>
      </x:c>
      <x:c r="I57" s="23" t="str">
        <x:v>Agentic AI Developer Needed - Build &amp; Review AI Agent</x:v>
      </x:c>
      <x:c r="J57" s="23" t="str">
        <x:v>Нужно помочь с ограниченной задачей по уже существующему AI-агенту: провести работу над сборкой или ревью с использованием LangChain, LangGraph, CrewAI либо аналогичного agentic-фреймворка. Простого опыта вызовов LLM API клиенту недостаточно.</x:v>
      </x:c>
      <x:c r="K57" s="23" t="str">
        <x:v>Фокус на существующем агенте, его разборе и доработке соответствует опыту с agentic-системами, а срок менее недели реалистичен. Клиент подтвержден, рейтинг 5,0, более $3K расходов и ставка до $60.</x:v>
      </x:c>
      <x:c r="L57" s="23" t="str">
        <x:v>Неясно, что именно нужно построить или проверить и в каком состоянии находится код. Нужны убедительные примеры работы именно с agentic-фреймворками, при этом уже есть 50+ предложений.</x:v>
      </x:c>
      <x:c r="M57" s="23" t="str">
        <x:v>Hourly: $25-$60</x:v>
      </x:c>
      <x:c r="N57" s="23" t="str">
        <x:v>verified</x:v>
      </x:c>
      <x:c r="O57" s="26" t="str">
        <x:v>50+</x:v>
      </x:c>
      <x:c r="P57" s="23" t="str">
        <x:v>5 hours ago</x:v>
      </x:c>
      <x:c r="Q57" s="23" t="str">
        <x:v>United States</x:v>
      </x:c>
      <x:c r="R57" s="23" t="str">
        <x:v>https://www.upwork.com/jobs/Agentic-Developer-Needed-Build-Review-Agent_~022082068615769369000/?referrer_url_path=find_work_home</x:v>
      </x:c>
      <x:c r="S57" s="23" t="str">
        <x:v>AI-агенты и оркестрация</x:v>
      </x:c>
      <x:c r="T57" s="23" t="str">
        <x:v>best_matches</x:v>
      </x:c>
    </x:row>
    <x:row r="58" ht="48" customHeight="1">
      <x:c r="A58" s="26" t="n">
        <x:v>54</x:v>
      </x:c>
      <x:c r="B58" s="23" t="str">
        <x:v>Upwork</x:v>
      </x:c>
      <x:c r="C58" s="23" t="str">
        <x:v>~022082069382522138916</x:v>
      </x:c>
      <x:c r="D58" s="23" t="str">
        <x:v>AI-агенты и оркестрация</x:v>
      </x:c>
      <x:c r="E58" s="29" t="n">
        <x:v>70</x:v>
      </x:c>
      <x:c r="F58" s="23" t="str">
        <x:v>70-79% - хорошее</x:v>
      </x:c>
      <x:c r="G58" s="23" t="str">
        <x:v>captured - recheck</x:v>
      </x:c>
      <x:c r="H58" s="23" t="str">
        <x:v>hourly</x:v>
      </x:c>
      <x:c r="I58" s="23" t="str">
        <x:v>Agentic AI Developer Needed - GenAI &amp; Chatbot Development</x:v>
      </x:c>
      <x:c r="J58" s="23" t="str">
        <x:v>Нужен опытный разработчик для сборки и отладки AI-агентов, GenAI и чат-интерфейсов с интеграцией в существующие системы. Клиент просит показать реально выпущенные, а не экспериментальные проекты.</x:v>
      </x:c>
      <x:c r="K58" s="23" t="str">
        <x:v>AI-агенты, LLM, отладка и системные интеграции совпадают с профилем Давида, а короткий срок менее недели подходит для ограниченного задания. Клиент подтвержден, имеет рейтинг 5,0 и более $3K расходов.</x:v>
      </x:c>
      <x:c r="L58" s="23" t="str">
        <x:v>Конкретная задача и критерии приемки не раскрыты, поэтому продуктовая переиспользуемость пока неясна. Требуются доказуемые production-примеры, а конкуренция уже 50+.</x:v>
      </x:c>
      <x:c r="M58" s="23" t="str">
        <x:v>Hourly: $30-$60</x:v>
      </x:c>
      <x:c r="N58" s="23" t="str">
        <x:v>verified</x:v>
      </x:c>
      <x:c r="O58" s="26" t="str">
        <x:v>50+</x:v>
      </x:c>
      <x:c r="P58" s="23" t="str">
        <x:v>5 hours ago</x:v>
      </x:c>
      <x:c r="Q58" s="23" t="str">
        <x:v>United States</x:v>
      </x:c>
      <x:c r="R58" s="23" t="str">
        <x:v>https://www.upwork.com/jobs/Agentic-Developer-Needed-GenAI-Chatbot-Development_~022082069382522138916/?referrer_url_path=find_work_home</x:v>
      </x:c>
      <x:c r="S58" s="23" t="str">
        <x:v>AI-агенты и оркестрация</x:v>
      </x:c>
      <x:c r="T58" s="23" t="str">
        <x:v>best_matches</x:v>
      </x:c>
    </x:row>
    <x:row r="59" ht="48" customHeight="1">
      <x:c r="A59" s="26" t="n">
        <x:v>55</x:v>
      </x:c>
      <x:c r="B59" s="23" t="str">
        <x:v>Upwork</x:v>
      </x:c>
      <x:c r="C59" s="23" t="str">
        <x:v>~022078099608600291093</x:v>
      </x:c>
      <x:c r="D59" s="23" t="str">
        <x:v>AI-продукты и full-stack</x:v>
      </x:c>
      <x:c r="E59" s="29" t="n">
        <x:v>70</x:v>
      </x:c>
      <x:c r="F59" s="23" t="str">
        <x:v>70-79% - хорошее</x:v>
      </x:c>
      <x:c r="G59" s="23" t="str">
        <x:v>captured - recheck</x:v>
      </x:c>
      <x:c r="H59" s="23" t="str">
        <x:v>не указано</x:v>
      </x:c>
      <x:c r="I59" s="23" t="str">
        <x:v>AI Agent Developer Needed for Long-Term Generative AI &amp; Machine Learning Projects</x:v>
      </x:c>
      <x:c r="J59" s="23" t="str">
        <x:v>Технологическая компания ищет долгосрочного разработчика для нескольких AI-продуктов: агентов, чат-ботов, RAG, workflow-автоматизаций и кастомных ML-решений. Нужна работа от концепции до deployment с API, внешними инструментами, облаком и современными agent frameworks.</x:v>
      </x:c>
      <x:c r="K59" s="23" t="str">
        <x:v>Агенты, OpenAI и Claude, LangGraph, RAG, API и production-разработка близки к профилю Давида. Заявленный фиксированный бюджет $10000 и долгосрочный поток проектов потенциально привлекательны, но это скорее роль внешнего AI-разработчика, чем конкретный продуктовый пилот.</x:v>
      </x:c>
      <x:c r="L59" s="23" t="str">
        <x:v>Не описан первый проект, milestones и критерии приемки; основной стек заявлен как Python. У клиента подтверждена оплата, но $0 расходов и нет рейтинга, при этом откликов 50+.</x:v>
      </x:c>
      <x:c r="M59" s="23" t="str">
        <x:v>$10,000.00</x:v>
      </x:c>
      <x:c r="N59" s="23" t="str">
        <x:v>verified</x:v>
      </x:c>
      <x:c r="O59" s="26" t="str">
        <x:v>50+</x:v>
      </x:c>
      <x:c r="P59" s="23" t="str">
        <x:v>2 weeks ago</x:v>
      </x:c>
      <x:c r="Q59" s="23" t="str">
        <x:v>United States</x:v>
      </x:c>
      <x:c r="R59" s="23" t="str">
        <x:v>https://www.upwork.com/jobs/span-class-highlight-span-span-class-highlight-Agent-span-Developer-Needed-for-Long-Term-Generative-span-class-highlight-span-amp-Machine-Learning-Projects_~022078099608600291093/?referrer_url_path=/nx/search/jobs/</x:v>
      </x:c>
      <x:c r="S59" s="23" t="str">
        <x:v>AI-продукты и full-stack</x:v>
      </x:c>
      <x:c r="T59" s="23" t="str">
        <x:v>search:AI agent automation:page5</x:v>
      </x:c>
    </x:row>
    <x:row r="60" ht="48" customHeight="1">
      <x:c r="A60" s="26" t="n">
        <x:v>56</x:v>
      </x:c>
      <x:c r="B60" s="23" t="str">
        <x:v>Upwork</x:v>
      </x:c>
      <x:c r="C60" s="23" t="str">
        <x:v>~022077289899645474567</x:v>
      </x:c>
      <x:c r="D60" s="23" t="str">
        <x:v>AI-агенты и оркестрация</x:v>
      </x:c>
      <x:c r="E60" s="29" t="n">
        <x:v>70</x:v>
      </x:c>
      <x:c r="F60" s="23" t="str">
        <x:v>70-79% - хорошее</x:v>
      </x:c>
      <x:c r="G60" s="23" t="str">
        <x:v>captured - recheck</x:v>
      </x:c>
      <x:c r="H60" s="23" t="str">
        <x:v>hourly</x:v>
      </x:c>
      <x:c r="I60" s="23" t="str">
        <x:v>AI Agents &amp; Automation Engineer</x:v>
      </x:c>
      <x:c r="J60" s="23" t="str">
        <x:v>Требуется разработчик для проектирования, тестирования, развертывания и интеграции AI-агентов в существующие автоматизированные системы, чтобы повысить эффективность и качество решений.</x:v>
      </x:c>
      <x:c r="K60" s="23" t="str">
        <x:v>Базовое направление хорошо совпадает с агентами, автоматизацией и интеграциями, а у клиента есть подтвержденные расходы и рейтинг 5.0.</x:v>
      </x:c>
      <x:c r="L60" s="23" t="str">
        <x:v>Не описаны конкретные процессы, системы, deliverables и критерии успеха; диапазон $9-$90 не дает надежного ценового сигнала, конкуренция 20-50.</x:v>
      </x:c>
      <x:c r="M60" s="23" t="str">
        <x:v>Hourly: $9.00 - $90.00</x:v>
      </x:c>
      <x:c r="N60" s="23" t="str">
        <x:v>verified</x:v>
      </x:c>
      <x:c r="O60" s="26" t="str">
        <x:v>20 to 50</x:v>
      </x:c>
      <x:c r="P60" s="23" t="str">
        <x:v>2 weeks ago</x:v>
      </x:c>
      <x:c r="Q60" s="23" t="str">
        <x:v>India</x:v>
      </x:c>
      <x:c r="R60" s="23" t="str">
        <x:v>https://www.upwork.com/jobs/span-class-highlight-span-span-class-highlight-Agents-span-amp-span-class-highlight-Automation-span-Engineer_~022077289899645474567/?referrer_url_path=/nx/search/jobs/</x:v>
      </x:c>
      <x:c r="S60" s="23" t="str">
        <x:v>AI-агенты и оркестрация</x:v>
      </x:c>
      <x:c r="T60" s="23" t="str">
        <x:v>search:AI agent automation:page7</x:v>
      </x:c>
    </x:row>
    <x:row r="61" ht="48" customHeight="1">
      <x:c r="A61" s="26" t="n">
        <x:v>57</x:v>
      </x:c>
      <x:c r="B61" s="23" t="str">
        <x:v>Upwork</x:v>
      </x:c>
      <x:c r="C61" s="23" t="str">
        <x:v>~022073735525921878223</x:v>
      </x:c>
      <x:c r="D61" s="23" t="str">
        <x:v>Автоматизация процессов и интеграции</x:v>
      </x:c>
      <x:c r="E61" s="29" t="n">
        <x:v>70</x:v>
      </x:c>
      <x:c r="F61" s="23" t="str">
        <x:v>70-79% - хорошее</x:v>
      </x:c>
      <x:c r="G61" s="23" t="str">
        <x:v>captured - recheck</x:v>
      </x:c>
      <x:c r="H61" s="23" t="str">
        <x:v>hourly</x:v>
      </x:c>
      <x:c r="I61" s="23" t="str">
        <x:v>AI Automation Developer (Workflows, APIs, AI Agents)</x:v>
      </x:c>
      <x:c r="J61" s="23" t="str">
        <x:v>Нужно проектировать и внедрять AI-workflows для бизнес-процессов, связывать OpenAI, Google и другие API через Zapier, Make, Power Automate или n8n. Системы должны заменять повторяющиеся операции и быть масштабируемыми и production-ready.</x:v>
      </x:c>
      <x:c r="K61" s="23" t="str">
        <x:v>AI API, бизнес-автоматизация, внешние интеграции и n8n или Make напрямую совпадают с профилем Давида и направлением Kora. Ставка $30-60/час приемлема, а формат меньше 30 часов в неделю потенциально совместим с проектной работой.</x:v>
      </x:c>
      <x:c r="L61" s="23" t="str">
        <x:v>Карточка не называет конкретный процесс, систему, первый deliverable или критерий успеха. У клиента подтверждена оплата, но $0 расходов и нет рейтинга; откликов 50+.</x:v>
      </x:c>
      <x:c r="M61" s="23" t="str">
        <x:v>Hourly: $30.00 - $60.00</x:v>
      </x:c>
      <x:c r="N61" s="23" t="str">
        <x:v>verified</x:v>
      </x:c>
      <x:c r="O61" s="26" t="str">
        <x:v>50+</x:v>
      </x:c>
      <x:c r="P61" s="23" t="str">
        <x:v>3 weeks ago</x:v>
      </x:c>
      <x:c r="Q61" s="23" t="str">
        <x:v>United States</x:v>
      </x:c>
      <x:c r="R61" s="23" t="str">
        <x:v>https://www.upwork.com/jobs/span-class-highlight-span-span-class-highlight-Automation-span-Developer-Workflows-APIs-span-class-highlight-span-span-class-highlight-Agents-span_~022073735525921878223/?referrer_url_path=/nx/search/jobs/</x:v>
      </x:c>
      <x:c r="S61" s="23" t="str">
        <x:v>Автоматизация процессов и интеграции</x:v>
      </x:c>
      <x:c r="T61" s="23" t="str">
        <x:v>search:AI agent automation:page6</x:v>
      </x:c>
    </x:row>
    <x:row r="62" ht="48" customHeight="1">
      <x:c r="A62" s="26" t="n">
        <x:v>58</x:v>
      </x:c>
      <x:c r="B62" s="23" t="str">
        <x:v>Upwork</x:v>
      </x:c>
      <x:c r="C62" s="23" t="str">
        <x:v>~022081852368808308338</x:v>
      </x:c>
      <x:c r="D62" s="23" t="str">
        <x:v>AI-агенты и оркестрация</x:v>
      </x:c>
      <x:c r="E62" s="29" t="n">
        <x:v>70</x:v>
      </x:c>
      <x:c r="F62" s="23" t="str">
        <x:v>70-79% - хорошее</x:v>
      </x:c>
      <x:c r="G62" s="23" t="str">
        <x:v>captured - recheck</x:v>
      </x:c>
      <x:c r="H62" s="23" t="str">
        <x:v>hourly</x:v>
      </x:c>
      <x:c r="I62" s="23" t="str">
        <x:v>AI Automation Engineer - Multi-Agent Systems for Healthcare AI (Bulgaria, 3-6 Months)</x:v>
      </x:c>
      <x:c r="J62" s="23" t="str">
        <x:v>Нужно с нуля построить многоагентную AIOS для эстетических клиник: реактивация пациентов, клиентский портал, интеграции, перенос данных из клинической системы в CRM и повторно используемые развертывания для новых клиник. Работа включает архитектуру, full-stack и работу с чувствительными медицинскими данными.</x:v>
      </x:c>
      <x:c r="K62" s="23" t="str">
        <x:v>Высокое техническое пересечение по TypeScript или JavaScript, API, OAuth, агентной оркестрации, n8n, CRM и повторно используемой продуктовой архитектуре.</x:v>
      </x:c>
      <x:c r="L62" s="23" t="str">
        <x:v>Есть жесткое требование находиться в Болгарии. Нужны доказанный опыт production multi-agent систем, медицинских данных и GDPR, загрузка 30+ часов в неделю; старт зависит от подписания первого клиента.</x:v>
      </x:c>
      <x:c r="M62" s="23" t="str">
        <x:v>Hourly</x:v>
      </x:c>
      <x:c r="N62" s="23" t="str">
        <x:v>verified</x:v>
      </x:c>
      <x:c r="O62" s="26" t="str">
        <x:v>5 to 10</x:v>
      </x:c>
      <x:c r="P62" s="23" t="str">
        <x:v>17 hours ago</x:v>
      </x:c>
      <x:c r="Q62" s="23" t="str">
        <x:v>Bulgaria</x:v>
      </x:c>
      <x:c r="R62" s="23" t="str">
        <x:v>https://www.upwork.com/jobs/span-class-highlight-span-span-class-highlight-Automation-span-Engineer-Multi-span-class-highlight-Agent-span-Systems-for-Healthcare-span-class-highlight-span-Bulgaria-Months_~022081852368808308338/?referrer_url_path=/nx/search/jobs/</x:v>
      </x:c>
      <x:c r="S62" s="23" t="str">
        <x:v>AI-агенты и оркестрация</x:v>
      </x:c>
      <x:c r="T62" s="23" t="str">
        <x:v>search:AI agent automation:page2</x:v>
      </x:c>
    </x:row>
    <x:row r="63" ht="48" customHeight="1">
      <x:c r="A63" s="26" t="n">
        <x:v>59</x:v>
      </x:c>
      <x:c r="B63" s="23" t="str">
        <x:v>Upwork</x:v>
      </x:c>
      <x:c r="C63" s="23" t="str">
        <x:v>~022078135380634019339</x:v>
      </x:c>
      <x:c r="D63" s="23" t="str">
        <x:v>AI-продукты и full-stack</x:v>
      </x:c>
      <x:c r="E63" s="29" t="n">
        <x:v>70</x:v>
      </x:c>
      <x:c r="F63" s="23" t="str">
        <x:v>70-79% - хорошее</x:v>
      </x:c>
      <x:c r="G63" s="23" t="str">
        <x:v>captured - recheck</x:v>
      </x:c>
      <x:c r="H63" s="23" t="str">
        <x:v>hourly</x:v>
      </x:c>
      <x:c r="I63" s="23" t="str">
        <x:v>AI Automation Engineer / AI Agent Developer</x:v>
      </x:c>
      <x:c r="J63" s="23" t="str">
        <x:v>Нужно создать AutoAnalyst AI, куда пользователь загружает сырые наборы данных, задает вопросы обычным языком и получает очищенный анализ, визуализации, выводы и профессиональный отчет. Требуются OpenAI API, Python, агенты, tool calling, исполнение кода и backend-автоматизация.</x:v>
      </x:c>
      <x:c r="K63" s="23" t="str">
        <x:v>Agent orchestration, OpenAI API, tool calling и создание законченного AI-продукта соответствуют общему инженерному профилю Давида. Клиент имеет подтвержденную оплату, рейтинг 5.0, более $2000 расходов и сильную ставку $60-100/час.</x:v>
      </x:c>
      <x:c r="L63" s="23" t="str">
        <x:v>Центр задачи - Python, безопасное исполнение пользовательского кода, data science и визуализация, а не основной стек и сценарий Kora. Несмотря на формулировку small-sized, продукт технически сложный; откликов 50+.</x:v>
      </x:c>
      <x:c r="M63" s="23" t="str">
        <x:v>Hourly: $60.00 - $100.00</x:v>
      </x:c>
      <x:c r="N63" s="23" t="str">
        <x:v>verified</x:v>
      </x:c>
      <x:c r="O63" s="26" t="str">
        <x:v>50+</x:v>
      </x:c>
      <x:c r="P63" s="23" t="str">
        <x:v>2 weeks ago</x:v>
      </x:c>
      <x:c r="Q63" s="23" t="str">
        <x:v>United States</x:v>
      </x:c>
      <x:c r="R63" s="23" t="str">
        <x:v>https://www.upwork.com/jobs/span-class-highlight-span-span-class-highlight-Automation-span-Engineer-span-class-highlight-span-span-class-highlight-Agent-span-Developer_~022078135380634019339/?referrer_url_path=/nx/search/jobs/</x:v>
      </x:c>
      <x:c r="S63" s="23" t="str">
        <x:v>AI-продукты и full-stack</x:v>
      </x:c>
      <x:c r="T63" s="23" t="str">
        <x:v>search:AI agent automation:page5</x:v>
      </x:c>
    </x:row>
    <x:row r="64" ht="48" customHeight="1">
      <x:c r="A64" s="26" t="n">
        <x:v>60</x:v>
      </x:c>
      <x:c r="B64" s="23" t="str">
        <x:v>Upwork</x:v>
      </x:c>
      <x:c r="C64" s="23" t="str">
        <x:v>~022082128804452242844</x:v>
      </x:c>
      <x:c r="D64" s="23" t="str">
        <x:v>Чат-боты, поддержка и CRM</x:v>
      </x:c>
      <x:c r="E64" s="29" t="n">
        <x:v>70</x:v>
      </x:c>
      <x:c r="F64" s="23" t="str">
        <x:v>70-79% - хорошее</x:v>
      </x:c>
      <x:c r="G64" s="23" t="str">
        <x:v>captured - recheck</x:v>
      </x:c>
      <x:c r="H64" s="23" t="str">
        <x:v>не указано</x:v>
      </x:c>
      <x:c r="I64" s="23" t="str">
        <x:v>AI Chatbot Developer for Customer Support &amp; CRM Automation</x:v>
      </x:c>
      <x:c r="J64" s="23" t="str">
        <x:v>Нужно создать production AI-чатбота для ответов клиентам, квалификации лидов, записи на встречи, проверки заказов и передачи диалога человеку. Решение должно работать с GoHighLevel или другой CRM, Google Sheets, базами, n8n или Make.com, вести историю и аналитику.</x:v>
      </x:c>
      <x:c r="K64" s="23" t="str">
        <x:v>AI support, CRM, workflow automation, API, human handoff и журналирование хорошо совпадают с Kora и техническим профилем Давида. Клиент подтвержден, имеет рейтинг 5.0 и $5K+ расходов, а функциональный объем описан понятно.</x:v>
      </x:c>
      <x:c r="L64" s="23" t="str">
        <x:v>Карточка не называет конкретную Business Platform/API, а фиксированный бюджет $5 совершенно не соответствует production-объему. Требуются доказанные chatbot-кейсы и опыт с CRM или no-code автоматизацией; конкуренция 20-50 предложений.</x:v>
      </x:c>
      <x:c r="M64" s="23" t="str">
        <x:v>$5.00</x:v>
      </x:c>
      <x:c r="N64" s="23" t="str">
        <x:v>verified</x:v>
      </x:c>
      <x:c r="O64" s="26" t="str">
        <x:v>20 to 50</x:v>
      </x:c>
      <x:c r="P64" s="23" t="str">
        <x:v>1 hour ago</x:v>
      </x:c>
      <x:c r="Q64" s="23" t="str">
        <x:v>United States</x:v>
      </x:c>
      <x:c r="R64" s="23" t="str">
        <x:v>https://www.upwork.com/jobs/span-class-highlight-span-Chatbot-Developer-for-Customer-Support-amp-CRM-span-class-highlight-Automation-span_~022082128804452242844/?referrer_url_path=/nx/search/jobs/</x:v>
      </x:c>
      <x:c r="S64" s="23" t="str">
        <x:v>Чат-боты, поддержка и CRM</x:v>
      </x:c>
      <x:c r="T64" s="23" t="str">
        <x:v>search:AI agent automation:page1</x:v>
      </x:c>
    </x:row>
    <x:row r="65" ht="48" customHeight="1">
      <x:c r="A65" s="26" t="n">
        <x:v>61</x:v>
      </x:c>
      <x:c r="B65" s="23" t="str">
        <x:v>Upwork</x:v>
      </x:c>
      <x:c r="C65" s="23" t="str">
        <x:v>~022081922819151747063</x:v>
      </x:c>
      <x:c r="D65" s="23" t="str">
        <x:v>RAG и базы знаний</x:v>
      </x:c>
      <x:c r="E65" s="29" t="n">
        <x:v>70</x:v>
      </x:c>
      <x:c r="F65" s="23" t="str">
        <x:v>70-79% - хорошее</x:v>
      </x:c>
      <x:c r="G65" s="23" t="str">
        <x:v>captured - recheck</x:v>
      </x:c>
      <x:c r="H65" s="23" t="str">
        <x:v>не указано</x:v>
      </x:c>
      <x:c r="I65" s="23" t="str">
        <x:v>AI Knowledge Assistant for AML/CTF Compliance Platform (Sydney Preferred)</x:v>
      </x:c>
      <x:c r="J65" s="23" t="str">
        <x:v>Австралийской compliance-платформе нужен RAG-ассистент внутри клиентского кабинета, отвечающий по AUSTRAC, законодательству, 17 SOP и отраслевым требованиям для пяти типов клиентов. Требуются точные контекстные ответы, интеграция в существующее веб-приложение и структура knowledge base.</x:v>
      </x:c>
      <x:c r="K65" s="23" t="str">
        <x:v>RAG, интеграция в SaaS и разграничение контекста по типам пользователей технически подходят Давиду и могут переиспользоваться в Kora как knowledge assistant. Есть фиксированные $1,500, срок 7-10 дней и клиент с подтвержденной оплатой, рейтингом 5.0 и $2K+ расходов.</x:v>
      </x:c>
      <x:c r="L65" s="23" t="str">
        <x:v>Это юридически чувствительный AML/CTF-домен, где ошибки могут иметь серьезные последствия, а срок для качественной проверки короткий. Предпочитают разработчика из Сиднея, требуют доказанные аналогичные RAG-проекты и уже получили 50+ предложений.</x:v>
      </x:c>
      <x:c r="M65" s="23" t="str">
        <x:v>$1,500</x:v>
      </x:c>
      <x:c r="N65" s="23" t="str">
        <x:v>verified</x:v>
      </x:c>
      <x:c r="O65" s="26" t="str">
        <x:v>50+</x:v>
      </x:c>
      <x:c r="P65" s="23" t="str">
        <x:v>15 hours ago</x:v>
      </x:c>
      <x:c r="Q65" s="23" t="str">
        <x:v>Singapore</x:v>
      </x:c>
      <x:c r="R65" s="23" t="str">
        <x:v>https://www.upwork.com/jobs/Knowledge-Assistant-for-AML-CTF-Compliance-Platform-Sydney-Preferred_~022081922819151747063/?referrer_url_path=find_work_home</x:v>
      </x:c>
      <x:c r="S65" s="23" t="str">
        <x:v>RAG и базы знаний</x:v>
      </x:c>
      <x:c r="T65" s="23" t="str">
        <x:v>best_matches</x:v>
      </x:c>
    </x:row>
    <x:row r="66" ht="48" customHeight="1">
      <x:c r="A66" s="26" t="n">
        <x:v>62</x:v>
      </x:c>
      <x:c r="B66" s="23" t="str">
        <x:v>Upwork</x:v>
      </x:c>
      <x:c r="C66" s="23" t="str">
        <x:v>~022078557262489384782</x:v>
      </x:c>
      <x:c r="D66" s="23" t="str">
        <x:v>AI-продукты и full-stack</x:v>
      </x:c>
      <x:c r="E66" s="29" t="n">
        <x:v>70</x:v>
      </x:c>
      <x:c r="F66" s="23" t="str">
        <x:v>70-79% - хорошее</x:v>
      </x:c>
      <x:c r="G66" s="23" t="str">
        <x:v>captured - recheck</x:v>
      </x:c>
      <x:c r="H66" s="23" t="str">
        <x:v>hourly</x:v>
      </x:c>
      <x:c r="I66" s="23" t="str">
        <x:v>AI SaaS for SMEs : Cost Reduction Platform (Multi-Agent Automation)</x:v>
      </x:c>
      <x:c r="J66" s="23" t="str">
        <x:v>Основатель строит SaaS для малого и среднего бизнеса, который анализирует расходы, поставщиков и категории, предлагает экономию и автоматизирует часть анализа с помощью нескольких AI-агентов. От исполнителя ожидается опыт multi-agent систем, n8n, OpenAI и RAG.</x:v>
      </x:c>
      <x:c r="K66" s="23" t="str">
        <x:v>Хорошее совпадение по агентам, n8n, OpenAI, RAG и продуктовой архитектуре, часть подходов потенциально переиспользуема в Kora.</x:v>
      </x:c>
      <x:c r="L66" s="23" t="str">
        <x:v>Описание пока на уровне концепции без конкретного первого deliverable; клиент без подтвержденной оплаты, рейтинга и расходов, 20-50 предложений.</x:v>
      </x:c>
      <x:c r="M66" s="23" t="str">
        <x:v>Hourly</x:v>
      </x:c>
      <x:c r="N66" s="23" t="str">
        <x:v>unverified</x:v>
      </x:c>
      <x:c r="O66" s="26" t="str">
        <x:v>20 to 50</x:v>
      </x:c>
      <x:c r="P66" s="23" t="str">
        <x:v>2 weeks ago</x:v>
      </x:c>
      <x:c r="Q66" s="23" t="str">
        <x:v>France</x:v>
      </x:c>
      <x:c r="R66" s="23" t="str">
        <x:v>https://www.upwork.com/jobs/span-class-highlight-span-SaaS-for-SMEs-Cost-Reduction-Platform-Multi-span-class-highlight-Agent-span-span-class-highlight-Automation-span_~022078557262489384782/?referrer_url_path=/nx/search/jobs/</x:v>
      </x:c>
      <x:c r="S66" s="23" t="str">
        <x:v>AI-продукты и full-stack</x:v>
      </x:c>
      <x:c r="T66" s="23" t="str">
        <x:v>search:AI agent automation:page8</x:v>
      </x:c>
    </x:row>
    <x:row r="67" ht="48" customHeight="1">
      <x:c r="A67" s="26" t="n">
        <x:v>63</x:v>
      </x:c>
      <x:c r="B67" s="23" t="str">
        <x:v>Upwork</x:v>
      </x:c>
      <x:c r="C67" s="23" t="str">
        <x:v>~022082085509781447861</x:v>
      </x:c>
      <x:c r="D67" s="23" t="str">
        <x:v>Голос и мультимедиа</x:v>
      </x:c>
      <x:c r="E67" s="29" t="n">
        <x:v>70</x:v>
      </x:c>
      <x:c r="F67" s="23" t="str">
        <x:v>70-79% - хорошее</x:v>
      </x:c>
      <x:c r="G67" s="23" t="str">
        <x:v>captured - recheck</x:v>
      </x:c>
      <x:c r="H67" s="23" t="str">
        <x:v>не указано</x:v>
      </x:c>
      <x:c r="I67" s="23" t="str">
        <x:v>AI Voice Agent Developer Needed for Business Automation</x:v>
      </x:c>
      <x:c r="J67" s="23" t="str">
        <x:v>Нужен входящий и исходящий голосовой ассистент, который естественно отвечает на вопросы, квалифицирует лидов, назначает встречи и переводит звонок человеку. Требуются CRM, календарные и телефонные интеграции, тестирование задержки и качества речи.</x:v>
      </x:c>
      <x:c r="K67" s="23" t="str">
        <x:v>Есть хорошее пересечение по AI-агенту, CRM, календарям, API, workflow и надежной передаче человеку. Scope понятен и допускает отдельный первый релиз.</x:v>
      </x:c>
      <x:c r="L67" s="23" t="str">
        <x:v>Нужен подтвержденный опыт с Retell, Vapi, Twilio или SIP и голосовым UX. Указанный фиксированный бюджет $10 не соответствует production-решению, несмотря на подтвержденного клиента с расходами.</x:v>
      </x:c>
      <x:c r="M67" s="23" t="str">
        <x:v>$10.00</x:v>
      </x:c>
      <x:c r="N67" s="23" t="str">
        <x:v>verified</x:v>
      </x:c>
      <x:c r="O67" s="26" t="str">
        <x:v>20 to 50</x:v>
      </x:c>
      <x:c r="P67" s="23" t="str">
        <x:v>4 hours ago</x:v>
      </x:c>
      <x:c r="Q67" s="23" t="str">
        <x:v>United States</x:v>
      </x:c>
      <x:c r="R67" s="23" t="str">
        <x:v>https://www.upwork.com/jobs/span-class-highlight-span-Voice-span-class-highlight-Agent-span-Developer-Needed-for-Business-span-class-highlight-Automation-span_~022082085509781447861/?referrer_url_path=/nx/search/jobs/</x:v>
      </x:c>
      <x:c r="S67" s="23" t="str">
        <x:v>Голосовые агенты</x:v>
      </x:c>
      <x:c r="T67" s="23" t="str">
        <x:v>search:AI agent automation:page3</x:v>
      </x:c>
    </x:row>
    <x:row r="68" ht="48" customHeight="1">
      <x:c r="A68" s="26" t="n">
        <x:v>64</x:v>
      </x:c>
      <x:c r="B68" s="23" t="str">
        <x:v>Upwork</x:v>
      </x:c>
      <x:c r="C68" s="23" t="str">
        <x:v>~022081767567479617709</x:v>
      </x:c>
      <x:c r="D68" s="23" t="str">
        <x:v>AI-продукты и full-stack</x:v>
      </x:c>
      <x:c r="E68" s="29" t="n">
        <x:v>70</x:v>
      </x:c>
      <x:c r="F68" s="23" t="str">
        <x:v>70-79% - хорошее</x:v>
      </x:c>
      <x:c r="G68" s="23" t="str">
        <x:v>captured - recheck</x:v>
      </x:c>
      <x:c r="H68" s="23" t="str">
        <x:v>не указано</x:v>
      </x:c>
      <x:c r="I68" s="23" t="str">
        <x:v>Full-Stack AI Engineer for AI Marketing Automation Platform</x:v>
      </x:c>
      <x:c r="J68" s="23" t="str">
        <x:v>Нужно с нуля создать full-stack AI-платформу для marketing automation с агентами, чат-интерфейсом, MCP, внешними API, authentication, backend, базой данных и deployment-документацией. Ожидаются production-качество, надежность и возможность масштабирования.</x:v>
      </x:c>
      <x:c r="K68" s="23" t="str">
        <x:v>AI-агенты, MCP, API, чат, full-stack и production-архитектура хорошо соответствуют Давиду и могут дать прямое переиспользование для Kora. Конкуренция ниже многих карточек в диапазоне: 15-20 предложений.</x:v>
      </x:c>
      <x:c r="L68" s="23" t="str">
        <x:v>За $300 заказчик фактически просит целую production-платформу, поэтому scope и бюджет сильно расходятся. В требованиях акцент на Python/FastAPI, у клиента нет расходов и рейтинга, а наличие публичных MCP и chatbot-кейсов не подтверждено.</x:v>
      </x:c>
      <x:c r="M68" s="23" t="str">
        <x:v>$300.00</x:v>
      </x:c>
      <x:c r="N68" s="23" t="str">
        <x:v>verified</x:v>
      </x:c>
      <x:c r="O68" s="26" t="str">
        <x:v>15 to 20</x:v>
      </x:c>
      <x:c r="P68" s="23" t="str">
        <x:v>yesterday</x:v>
      </x:c>
      <x:c r="Q68" s="23" t="str">
        <x:v>Pakistan</x:v>
      </x:c>
      <x:c r="R68" s="23" t="str">
        <x:v>https://www.upwork.com/jobs/Full-Stack-span-class-highlight-span-Engineer-for-span-class-highlight-span-Marketing-span-class-highlight-Automation-span-Platform_~022081767567479617709/?referrer_url_path=/nx/search/jobs/</x:v>
      </x:c>
      <x:c r="S68" s="23" t="str">
        <x:v>AI-продукты и full-stack</x:v>
      </x:c>
      <x:c r="T68" s="23" t="str">
        <x:v>search:AI agent automation:page2</x:v>
      </x:c>
    </x:row>
    <x:row r="69" ht="48" customHeight="1">
      <x:c r="A69" s="26" t="n">
        <x:v>65</x:v>
      </x:c>
      <x:c r="B69" s="23" t="str">
        <x:v>Upwork</x:v>
      </x:c>
      <x:c r="C69" s="23" t="str">
        <x:v>~022081818297985759122</x:v>
      </x:c>
      <x:c r="D69" s="23" t="str">
        <x:v>Чат-боты, поддержка и CRM</x:v>
      </x:c>
      <x:c r="E69" s="29" t="n">
        <x:v>70</x:v>
      </x:c>
      <x:c r="F69" s="23" t="str">
        <x:v>70-79% - хорошее</x:v>
      </x:c>
      <x:c r="G69" s="23" t="str">
        <x:v>captured - recheck</x:v>
      </x:c>
      <x:c r="H69" s="23" t="str">
        <x:v>hourly</x:v>
      </x:c>
      <x:c r="I69" s="23" t="str">
        <x:v>n8n AI Automation Specialist for Chatbot</x:v>
      </x:c>
      <x:c r="J69" s="23" t="str">
        <x:v>Нужно собрать в n8n омниканального AI-ассистента Sara с RAG и веб-чатом для общения с клиентами на нескольких платформах. Ожидаются AI-автоматизация и цельный пользовательский опыт.</x:v>
      </x:c>
      <x:c r="K69" s="23" t="str">
        <x:v>n8n, RAG, чат-бот и многоканальная интеграция хорошо совпадают с Kora и опытом разработки AI-ассистентов. Срок менее месяца делает проект потенциально выполнимым одним специалистом.</x:v>
      </x:c>
      <x:c r="L69" s="23" t="str">
        <x:v>Описание слишком общее: не названы каналы, источники знаний, CRM, критерии качества и точные deliverables. Клиент без подтвержденной оплаты, рейтинга и расходов; конкуренция 20-50 предложений.</x:v>
      </x:c>
      <x:c r="M69" s="23" t="str">
        <x:v>Hourly: $19-$40</x:v>
      </x:c>
      <x:c r="N69" s="23" t="str">
        <x:v>unverified</x:v>
      </x:c>
      <x:c r="O69" s="26" t="str">
        <x:v>20 to 50</x:v>
      </x:c>
      <x:c r="P69" s="23" t="str">
        <x:v>yesterday</x:v>
      </x:c>
      <x:c r="Q69" s="23" t="str">
        <x:v>India</x:v>
      </x:c>
      <x:c r="R69" s="23" t="str">
        <x:v>https://www.upwork.com/jobs/n8n-Automation-Specialist-for-Chatbot_~022081818297985759122/?referrer_url_path=find_work_home</x:v>
      </x:c>
      <x:c r="S69" s="23" t="str">
        <x:v>Чат-боты, поддержка и CRM</x:v>
      </x:c>
      <x:c r="T69" s="23" t="str">
        <x:v>best_matches</x:v>
      </x:c>
    </x:row>
    <x:row r="70" ht="48" customHeight="1">
      <x:c r="A70" s="26" t="n">
        <x:v>66</x:v>
      </x:c>
      <x:c r="B70" s="23" t="str">
        <x:v>Upwork</x:v>
      </x:c>
      <x:c r="C70" s="23" t="str">
        <x:v>~022080577217360640173</x:v>
      </x:c>
      <x:c r="D70" s="23" t="str">
        <x:v>AI-агенты и оркестрация</x:v>
      </x:c>
      <x:c r="E70" s="29" t="n">
        <x:v>70</x:v>
      </x:c>
      <x:c r="F70" s="23" t="str">
        <x:v>70-79% - хорошее</x:v>
      </x:c>
      <x:c r="G70" s="23" t="str">
        <x:v>captured - recheck</x:v>
      </x:c>
      <x:c r="H70" s="23" t="str">
        <x:v>hourly</x:v>
      </x:c>
      <x:c r="I70" s="23" t="str">
        <x:v>Principal AI Agent Systems Engineer</x:v>
      </x:c>
      <x:c r="J70" s="23" t="str">
        <x:v>Нужен ведущий архитектор для AI-платформы маркетинга: спроектировать агентные workflow, orchestration, tool calling, память, API и интеграционный каркас, а также задать инженерные стандарты и довести решение до production.</x:v>
      </x:c>
      <x:c r="K70" s="23" t="str">
        <x:v>Сильное техническое пересечение по агентной архитектуре, LLM, API, памяти и production-системам, а работа может углубить платформенные решения Kora.</x:v>
      </x:c>
      <x:c r="L70" s="23" t="str">
        <x:v>Это senior lead-роль с координацией нескольких функций, 30+ часов в неделю и широким архитектурным мандатом; клиент без подтвержденной оплаты и расходов.</x:v>
      </x:c>
      <x:c r="M70" s="23" t="str">
        <x:v>Hourly</x:v>
      </x:c>
      <x:c r="N70" s="23" t="str">
        <x:v>unverified</x:v>
      </x:c>
      <x:c r="O70" s="26" t="str">
        <x:v>20 to 50</x:v>
      </x:c>
      <x:c r="P70" s="23" t="str">
        <x:v>4 days ago</x:v>
      </x:c>
      <x:c r="Q70" s="23" t="str">
        <x:v>Malaysia</x:v>
      </x:c>
      <x:c r="R70" s="23" t="str">
        <x:v>https://www.upwork.com/jobs/Principal-span-class-highlight-span-span-class-highlight-Agent-span-Systems-Engineer_~022080577217360640173/?referrer_url_path=/nx/search/jobs/</x:v>
      </x:c>
      <x:c r="S70" s="23" t="str">
        <x:v>AI-агенты и оркестрация</x:v>
      </x:c>
      <x:c r="T70" s="23" t="str">
        <x:v>search:AI agent automation:page8</x:v>
      </x:c>
    </x:row>
    <x:row r="71" ht="48" customHeight="1">
      <x:c r="A71" s="26" t="n">
        <x:v>67</x:v>
      </x:c>
      <x:c r="B71" s="23" t="str">
        <x:v>Upwork</x:v>
      </x:c>
      <x:c r="C71" s="23" t="str">
        <x:v>~022081772265073808796</x:v>
      </x:c>
      <x:c r="D71" s="23" t="str">
        <x:v>AI-продукты и full-stack</x:v>
      </x:c>
      <x:c r="E71" s="29" t="n">
        <x:v>70</x:v>
      </x:c>
      <x:c r="F71" s="23" t="str">
        <x:v>70-79% - хорошее</x:v>
      </x:c>
      <x:c r="G71" s="23" t="str">
        <x:v>captured - recheck</x:v>
      </x:c>
      <x:c r="H71" s="23" t="str">
        <x:v>не указано</x:v>
      </x:c>
      <x:c r="I71" s="23" t="str">
        <x:v>Senior AI Engineer + DevOps Expert | Python, Voice AI, AWS, n8n, &amp; Production LLM Systems</x:v>
      </x:c>
      <x:c r="J71" s="23" t="str">
        <x:v>Ищут инженера полного цикла для production AI-приложений: агенты, RAG, API, n8n, внешние интеграции, AWS-развертывание, безопасность и мониторинг. Объявление охватывает сразу множество стеков и типов будущих проектов.</x:v>
      </x:c>
      <x:c r="K71" s="23" t="str">
        <x:v>Есть прямое пересечение с агентами, RAG, OpenAI и Claude, интеграциями, автоматизацией и построением продукта от архитектуры до эксплуатации.</x:v>
      </x:c>
      <x:c r="L71" s="23" t="str">
        <x:v>Акцент на Python, FastAPI или Django, AWS и DevOps требует отдельного подтверждения опыта. Scope чрезмерно широкий для фиксированного бюджета $500, платежи клиента не подтверждены, конкуренция 20-50 заявок.</x:v>
      </x:c>
      <x:c r="M71" s="23" t="str">
        <x:v>$500.00</x:v>
      </x:c>
      <x:c r="N71" s="23" t="str">
        <x:v>unverified</x:v>
      </x:c>
      <x:c r="O71" s="26" t="str">
        <x:v>20 to 50</x:v>
      </x:c>
      <x:c r="P71" s="23" t="str">
        <x:v>yesterday</x:v>
      </x:c>
      <x:c r="Q71" s="23" t="str">
        <x:v>Australia</x:v>
      </x:c>
      <x:c r="R71" s="23" t="str">
        <x:v>https://www.upwork.com/jobs/Senior-span-class-highlight-span-Engineer-DevOps-Expert-Python-Voice-span-class-highlight-span-AWS-n8n-amp-Production-LLM-Systems_~022081772265073808796/?referrer_url_path=/nx/search/jobs/</x:v>
      </x:c>
      <x:c r="S71" s="23" t="str">
        <x:v>AI-продукты и full-stack</x:v>
      </x:c>
      <x:c r="T71" s="23" t="str">
        <x:v>search:AI agent automation:page2</x:v>
      </x:c>
    </x:row>
    <x:row r="72" ht="48" customHeight="1">
      <x:c r="A72" s="26" t="n">
        <x:v>68</x:v>
      </x:c>
      <x:c r="B72" s="23" t="str">
        <x:v>Upwork</x:v>
      </x:c>
      <x:c r="C72" s="23" t="str">
        <x:v>~022082101814561162150</x:v>
      </x:c>
      <x:c r="D72" s="23" t="str">
        <x:v>Чат-боты, поддержка и CRM</x:v>
      </x:c>
      <x:c r="E72" s="29" t="n">
        <x:v>70</x:v>
      </x:c>
      <x:c r="F72" s="23" t="str">
        <x:v>70-79% - хорошее</x:v>
      </x:c>
      <x:c r="G72" s="23" t="str">
        <x:v>captured - recheck</x:v>
      </x:c>
      <x:c r="H72" s="23" t="str">
        <x:v>не указано</x:v>
      </x:c>
      <x:c r="I72" s="23" t="str">
        <x:v>WhatsApp AI Chatbot Developer for Customer Support &amp; CRM Automation</x:v>
      </x:c>
      <x:c r="J72" s="23" t="str">
        <x:v>Нужно создать production WhatsApp-бота для поддержки, квалификации лидов, записи, статусов заказов и передачи диалога человеку. Требуются WhatsApp Business API, GoHighLevel или другая CRM, Google Sheets, базы, n8n или Make.com, логирование и аналитика.</x:v>
      </x:c>
      <x:c r="K72" s="23" t="str">
        <x:v>Сценарий поддержки, CRM, автоматизации, LLM API и human handoff хорошо совпадает с продуктовой зоной Kora и инженерным профилем Давида. Клиент подтвержден, имеет рейтинг 5.0, $2K+ расходов и относительно умеренные 15-20 предложений.</x:v>
      </x:c>
      <x:c r="L72" s="23" t="str">
        <x:v>Фиксированный бюджет $5 не соответствует production-чатботу и перечню интеграций. Нужен доказанный опыт с WhatsApp Business API, GoHighLevel и n8n или Make.com, который не следует считать подтвержденным.</x:v>
      </x:c>
      <x:c r="M72" s="23" t="str">
        <x:v>$5.00</x:v>
      </x:c>
      <x:c r="N72" s="23" t="str">
        <x:v>verified</x:v>
      </x:c>
      <x:c r="O72" s="26" t="str">
        <x:v>15 to 20</x:v>
      </x:c>
      <x:c r="P72" s="23" t="str">
        <x:v>3 hours ago</x:v>
      </x:c>
      <x:c r="Q72" s="23" t="str">
        <x:v>NGA</x:v>
      </x:c>
      <x:c r="R72" s="23" t="str">
        <x:v>https://www.upwork.com/jobs/WhatsApp-span-class-highlight-span-Chatbot-Developer-for-Customer-Support-amp-CRM-span-class-highlight-Automation-span_~022082101814561162150/?referrer_url_path=/nx/search/jobs/</x:v>
      </x:c>
      <x:c r="S72" s="23" t="str">
        <x:v>Чат-боты, поддержка и CRM</x:v>
      </x:c>
      <x:c r="T72" s="23" t="str">
        <x:v>search:AI agent automation:page2</x:v>
      </x:c>
    </x:row>
    <x:row r="73" ht="48" customHeight="1">
      <x:c r="A73" s="26" t="n">
        <x:v>69</x:v>
      </x:c>
      <x:c r="B73" s="23" t="str">
        <x:v>Upwork</x:v>
      </x:c>
      <x:c r="C73" s="23" t="str">
        <x:v>~022082036539400908402</x:v>
      </x:c>
      <x:c r="D73" s="23" t="str">
        <x:v>AI-агенты и оркестрация</x:v>
      </x:c>
      <x:c r="E73" s="29" t="n">
        <x:v>65</x:v>
      </x:c>
      <x:c r="F73" s="23" t="str">
        <x:v>60-69% - частичное</x:v>
      </x:c>
      <x:c r="G73" s="23" t="str">
        <x:v>captured - recheck</x:v>
      </x:c>
      <x:c r="H73" s="23" t="str">
        <x:v>hourly</x:v>
      </x:c>
      <x:c r="I73" s="23" t="str">
        <x:v>Agentic AI Engineer – MCP, A2A, RAG &amp; Production LLM Systems</x:v>
      </x:c>
      <x:c r="J73" s="23" t="str">
        <x:v>Ищут инженера для долгосрочной разработки production-agent systems с MCP, A2A, multi-agent coordination, RAG, памятью, human approval, безопасными tool calls, evaluation, observability и deployment. Также ожидаются Docker, Kubernetes, CI/CD, защита данных и подробная эксплуатационная документация.</x:v>
      </x:c>
      <x:c r="K73" s="23" t="str">
        <x:v>Agent orchestration, MCP, RAG, structured outputs, human-in-the-loop, API и надежность напрямую связаны с Kora. Описание технически содержательное и дает ясное представление об ожидаемой архитектуре.</x:v>
      </x:c>
      <x:c r="L73" s="23" t="str">
        <x:v>Требуется широкий подтвержденный production-опыт с MCP, A2A, Python, Kubernetes, security и MLOps, который нельзя считать доказанным по имеющимся данным. Это долгосрочная загрузка 30+ часов, клиент без подтвержденной оплаты и истории, ставка $15-$40.</x:v>
      </x:c>
      <x:c r="M73" s="23" t="str">
        <x:v>Hourly: $15-$40</x:v>
      </x:c>
      <x:c r="N73" s="23" t="str">
        <x:v>unverified</x:v>
      </x:c>
      <x:c r="O73" s="26" t="str">
        <x:v>20 to 50</x:v>
      </x:c>
      <x:c r="P73" s="23" t="str">
        <x:v>7 hours ago</x:v>
      </x:c>
      <x:c r="Q73" s="23" t="str">
        <x:v>United Kingdom</x:v>
      </x:c>
      <x:c r="R73" s="23" t="str">
        <x:v>https://www.upwork.com/jobs/Agentic-Engineer-MCP-A2A-RAG-Production-LLM-Systems_~022082036539400908402/?referrer_url_path=find_work_home</x:v>
      </x:c>
      <x:c r="S73" s="23" t="str">
        <x:v>AI-агенты и оркестрация</x:v>
      </x:c>
      <x:c r="T73" s="23" t="str">
        <x:v>best_matches</x:v>
      </x:c>
    </x:row>
    <x:row r="74" ht="48" customHeight="1">
      <x:c r="A74" s="26" t="n">
        <x:v>70</x:v>
      </x:c>
      <x:c r="B74" s="23" t="str">
        <x:v>Upwork</x:v>
      </x:c>
      <x:c r="C74" s="23" t="str">
        <x:v>~022073334803775970880</x:v>
      </x:c>
      <x:c r="D74" s="23" t="str">
        <x:v>Автоматизация процессов и интеграции</x:v>
      </x:c>
      <x:c r="E74" s="29" t="n">
        <x:v>65</x:v>
      </x:c>
      <x:c r="F74" s="23" t="str">
        <x:v>60-69% - частичное</x:v>
      </x:c>
      <x:c r="G74" s="23" t="str">
        <x:v>captured - recheck</x:v>
      </x:c>
      <x:c r="H74" s="23" t="str">
        <x:v>hourly</x:v>
      </x:c>
      <x:c r="I74" s="23" t="str">
        <x:v>AI Agent Developer for Sales Automation</x:v>
      </x:c>
      <x:c r="J74" s="23" t="str">
        <x:v>Нужно проанализировать существующий процесс продаж, спроектировать AI-решение и автоматизировать workflow для повышения эффективности продаж и взаимодействия с клиентами.</x:v>
      </x:c>
      <x:c r="K74" s="23" t="str">
        <x:v>Продажи, агенты, API и автоматизация соответствуют техническому профилю и могут дать повторно используемый CRM-сценарий для Kora.</x:v>
      </x:c>
      <x:c r="L74" s="23" t="str">
        <x:v>Нет описания текущего workflow, систем, результата и метрик; клиент без подтвержденной оплаты и расходов, заявлен экспертный уровень и 20-50 предложений.</x:v>
      </x:c>
      <x:c r="M74" s="23" t="str">
        <x:v>Hourly: $20.00 - $40.00</x:v>
      </x:c>
      <x:c r="N74" s="23" t="str">
        <x:v>unverified</x:v>
      </x:c>
      <x:c r="O74" s="26" t="str">
        <x:v>20 to 50</x:v>
      </x:c>
      <x:c r="P74" s="23" t="str">
        <x:v>4 weeks ago</x:v>
      </x:c>
      <x:c r="Q74" s="23" t="str">
        <x:v>Pakistan</x:v>
      </x:c>
      <x:c r="R74" s="23" t="str">
        <x:v>https://www.upwork.com/jobs/span-class-highlight-span-span-class-highlight-Agent-span-Developer-for-Sales-span-class-highlight-Automation-span_~022073334803775970880/?referrer_url_path=/nx/search/jobs/</x:v>
      </x:c>
      <x:c r="S74" s="23" t="str">
        <x:v>Автоматизация процессов и интеграции</x:v>
      </x:c>
      <x:c r="T74" s="23" t="str">
        <x:v>search:AI agent automation:page8</x:v>
      </x:c>
    </x:row>
    <x:row r="75" ht="48" customHeight="1">
      <x:c r="A75" s="26" t="n">
        <x:v>71</x:v>
      </x:c>
      <x:c r="B75" s="23" t="str">
        <x:v>Upwork</x:v>
      </x:c>
      <x:c r="C75" s="23" t="str">
        <x:v>~022081068879263135634</x:v>
      </x:c>
      <x:c r="D75" s="23" t="str">
        <x:v>Голос и мультимедиа</x:v>
      </x:c>
      <x:c r="E75" s="29" t="n">
        <x:v>65</x:v>
      </x:c>
      <x:c r="F75" s="23" t="str">
        <x:v>60-69% - частичное</x:v>
      </x:c>
      <x:c r="G75" s="23" t="str">
        <x:v>captured - recheck</x:v>
      </x:c>
      <x:c r="H75" s="23" t="str">
        <x:v>не указано</x:v>
      </x:c>
      <x:c r="I75" s="23" t="str">
        <x:v>AI Agent Developer Needed – Multi-Model Voice &amp; Chat System (Claude, OpenAI, RAG)</x:v>
      </x:c>
      <x:c r="J75" s="23" t="str">
        <x:v>Нужно создать общий backend для телефонного и чат-агента с RAG-базой, маршрутизацией между Claude и OpenAI, GoHighLevel CRM и эскалацией через n8n или Zapier. Также требуются транскрипты, базовая аналитика, API и документация.</x:v>
      </x:c>
      <x:c r="K75" s="23" t="str">
        <x:v>Сильное совпадение по агентной архитектуре, Claude/OpenAI, RAG, CRM, API и безопасной передаче неуверенных ответов человеку.</x:v>
      </x:c>
      <x:c r="L75" s="23" t="str">
        <x:v>Требуются Python/FastAPI и production voice-интеграции Twilio/Retell; фиксированные $100 явно не соответствуют заявленному объему, клиент без расходов и рейтинга.</x:v>
      </x:c>
      <x:c r="M75" s="23" t="str">
        <x:v>$100.00</x:v>
      </x:c>
      <x:c r="N75" s="23" t="str">
        <x:v>verified</x:v>
      </x:c>
      <x:c r="O75" s="26" t="str">
        <x:v>20 to 50</x:v>
      </x:c>
      <x:c r="P75" s="23" t="str">
        <x:v>3 days ago</x:v>
      </x:c>
      <x:c r="Q75" s="23" t="str">
        <x:v>United Arab Emirates</x:v>
      </x:c>
      <x:c r="R75" s="23" t="str">
        <x:v>https://www.upwork.com/jobs/span-class-highlight-span-span-class-highlight-Agent-span-Developer-Needed-Multi-Model-Voice-amp-Chat-System-Claude-Open-span-class-highlight-span-RAG_~022081068879263135634/?referrer_url_path=/nx/search/jobs/</x:v>
      </x:c>
      <x:c r="S75" s="23" t="str">
        <x:v>Голосовые агенты</x:v>
      </x:c>
      <x:c r="T75" s="23" t="str">
        <x:v>search:AI agent automation:page7</x:v>
      </x:c>
    </x:row>
    <x:row r="76" ht="48" customHeight="1">
      <x:c r="A76" s="26" t="n">
        <x:v>72</x:v>
      </x:c>
      <x:c r="B76" s="23" t="str">
        <x:v>Upwork</x:v>
      </x:c>
      <x:c r="C76" s="23" t="str">
        <x:v>~022071633142223961971</x:v>
      </x:c>
      <x:c r="D76" s="23" t="str">
        <x:v>AI-агенты и оркестрация</x:v>
      </x:c>
      <x:c r="E76" s="29" t="n">
        <x:v>65</x:v>
      </x:c>
      <x:c r="F76" s="23" t="str">
        <x:v>60-69% - частичное</x:v>
      </x:c>
      <x:c r="G76" s="23" t="str">
        <x:v>captured - recheck</x:v>
      </x:c>
      <x:c r="H76" s="23" t="str">
        <x:v>не указано</x:v>
      </x:c>
      <x:c r="I76" s="23" t="str">
        <x:v>AI Agent Engineer for Business Automation</x:v>
      </x:c>
      <x:c r="J76" s="23" t="str">
        <x:v>Требуется спроектировать и реализовать enterprise-grade многоагентную систему для автоматизации сложных бизнес-процессов и поддержки решений.</x:v>
      </x:c>
      <x:c r="K76" s="23" t="str">
        <x:v>Тематика напрямую пересекается с AI-агентами, автоматизацией и архитектурой Kora.</x:v>
      </x:c>
      <x:c r="L76" s="23" t="str">
        <x:v>Задача описана слишком общо, а фиксированный бюджет $120 нереалистичен для enterprise-grade системы; клиент верифицирован, но без расходов и рейтинга, 20-50 предложений.</x:v>
      </x:c>
      <x:c r="M76" s="23" t="str">
        <x:v>$120.00</x:v>
      </x:c>
      <x:c r="N76" s="23" t="str">
        <x:v>verified</x:v>
      </x:c>
      <x:c r="O76" s="26" t="str">
        <x:v>20 to 50</x:v>
      </x:c>
      <x:c r="P76" s="23" t="str">
        <x:v>4 weeks ago</x:v>
      </x:c>
      <x:c r="Q76" s="23" t="str">
        <x:v>United Kingdom</x:v>
      </x:c>
      <x:c r="R76" s="23" t="str">
        <x:v>https://www.upwork.com/jobs/span-class-highlight-span-span-class-highlight-Agent-span-Engineer-for-Business-span-class-highlight-Automation-span_~022071633142223961971/?referrer_url_path=/nx/search/jobs/</x:v>
      </x:c>
      <x:c r="S76" s="23" t="str">
        <x:v>AI-агенты и оркестрация</x:v>
      </x:c>
      <x:c r="T76" s="23" t="str">
        <x:v>search:AI agent automation:page8</x:v>
      </x:c>
    </x:row>
    <x:row r="77" ht="48" customHeight="1">
      <x:c r="A77" s="26" t="n">
        <x:v>73</x:v>
      </x:c>
      <x:c r="B77" s="23" t="str">
        <x:v>Upwork</x:v>
      </x:c>
      <x:c r="C77" s="23" t="str">
        <x:v>~022082043668763252124</x:v>
      </x:c>
      <x:c r="D77" s="23" t="str">
        <x:v>Голос и мультимедиа</x:v>
      </x:c>
      <x:c r="E77" s="29" t="n">
        <x:v>65</x:v>
      </x:c>
      <x:c r="F77" s="23" t="str">
        <x:v>60-69% - частичное</x:v>
      </x:c>
      <x:c r="G77" s="23" t="str">
        <x:v>captured - recheck</x:v>
      </x:c>
      <x:c r="H77" s="23" t="str">
        <x:v>hourly</x:v>
      </x:c>
      <x:c r="I77" s="23" t="str">
        <x:v>AI Automation | AI Voice Agent &amp; n8n Automation | Vapi / Retell AI / Eleven Labs | LLM Integration</x:v>
      </x:c>
      <x:c r="J77" s="23" t="str">
        <x:v>Нужен специалист для создания голосовых AI-агентов на Vapi, Retell AI, Bland AI или ElevenLabs и связанных n8n-процессов. Агенты должны принимать звонки, квалифицировать лидов, бронировать встречи, поддерживать клиентов и работать с CRM, календарями и другими сервисами.</x:v>
      </x:c>
      <x:c r="K77" s="23" t="str">
        <x:v>n8n, TypeScript, LLM API, webhooks, CRM и бизнес-автоматизация хорошо совпадают с технической зоной Давида и частично с Kora. Карточка достаточно подробно описывает функции и предполагает продолжающееся сотрудничество.</x:v>
      </x:c>
      <x:c r="L77" s="23" t="str">
        <x:v>Ключевая специализация здесь - production voice agents, включая latency, interruption handling, call routing и human handoff; подтвержденного опыта Давида с Vapi, Retell или телефонией нет. Клиент потратил только $100, а предложений уже 50+.</x:v>
      </x:c>
      <x:c r="M77" s="23" t="str">
        <x:v>Hourly: $20-$40</x:v>
      </x:c>
      <x:c r="N77" s="23" t="str">
        <x:v>verified</x:v>
      </x:c>
      <x:c r="O77" s="26" t="str">
        <x:v>50+</x:v>
      </x:c>
      <x:c r="P77" s="23" t="str">
        <x:v>7 hours ago</x:v>
      </x:c>
      <x:c r="Q77" s="23" t="str">
        <x:v>India</x:v>
      </x:c>
      <x:c r="R77" s="23" t="str">
        <x:v>https://www.upwork.com/jobs/Automation-Voice-Agent-n8n-Automation-Vapi-Retell-Eleven-Labs-LLM-Integration_~022082043668763252124/?referrer_url_path=find_work_home</x:v>
      </x:c>
      <x:c r="S77" s="23" t="str">
        <x:v>Голосовые агенты</x:v>
      </x:c>
      <x:c r="T77" s="23" t="str">
        <x:v>best_matches</x:v>
      </x:c>
    </x:row>
    <x:row r="78" ht="48" customHeight="1">
      <x:c r="A78" s="26" t="n">
        <x:v>74</x:v>
      </x:c>
      <x:c r="B78" s="23" t="str">
        <x:v>Upwork</x:v>
      </x:c>
      <x:c r="C78" s="23" t="str">
        <x:v>~022073731877212942543</x:v>
      </x:c>
      <x:c r="D78" s="23" t="str">
        <x:v>Автоматизация процессов и интеграции</x:v>
      </x:c>
      <x:c r="E78" s="29" t="n">
        <x:v>65</x:v>
      </x:c>
      <x:c r="F78" s="23" t="str">
        <x:v>60-69% - частичное</x:v>
      </x:c>
      <x:c r="G78" s="23" t="str">
        <x:v>captured - recheck</x:v>
      </x:c>
      <x:c r="H78" s="23" t="str">
        <x:v>hourly</x:v>
      </x:c>
      <x:c r="I78" s="23" t="str">
        <x:v>AI Automation Developer Needed (Workflows + AI Agents)</x:v>
      </x:c>
      <x:c r="J78" s="23" t="str">
        <x:v>Нужен разработчик для production-ready AI-workflows и агентов, автоматизирующих бизнес-операции через AI API, Zapier, Make или n8n. Заказчик просит показать прошлые автоматизации, использованные инструменты и примеры агентов.</x:v>
      </x:c>
      <x:c r="K78" s="23" t="str">
        <x:v>Тема AI-агентов, API и workflow automation напрямую соответствует техническому профилю Давида и Kora. Диапазон $30-60/час и занятость менее 30 часов в неделю потенциально приемлемы.</x:v>
      </x:c>
      <x:c r="L78" s="23" t="str">
        <x:v>Описание общее и не содержит конкретного процесса, интеграций, deliverables или критериев приемки. У клиента подтверждена оплата, но $0 расходов и нет рейтинга; откликов 50+.</x:v>
      </x:c>
      <x:c r="M78" s="23" t="str">
        <x:v>Hourly: $30.00 - $60.00</x:v>
      </x:c>
      <x:c r="N78" s="23" t="str">
        <x:v>verified</x:v>
      </x:c>
      <x:c r="O78" s="26" t="str">
        <x:v>50+</x:v>
      </x:c>
      <x:c r="P78" s="23" t="str">
        <x:v>3 weeks ago</x:v>
      </x:c>
      <x:c r="Q78" s="23" t="str">
        <x:v>United Kingdom</x:v>
      </x:c>
      <x:c r="R78" s="23" t="str">
        <x:v>https://www.upwork.com/jobs/span-class-highlight-span-span-class-highlight-Automation-span-Developer-Needed-Workflows-span-class-highlight-span-span-class-highlight-Agents-span_~022073731877212942543/?referrer_url_path=/nx/search/jobs/</x:v>
      </x:c>
      <x:c r="S78" s="23" t="str">
        <x:v>Автоматизация процессов и интеграции</x:v>
      </x:c>
      <x:c r="T78" s="23" t="str">
        <x:v>search:AI agent automation:page6</x:v>
      </x:c>
    </x:row>
    <x:row r="79" ht="48" customHeight="1">
      <x:c r="A79" s="26" t="n">
        <x:v>75</x:v>
      </x:c>
      <x:c r="B79" s="23" t="str">
        <x:v>Upwork</x:v>
      </x:c>
      <x:c r="C79" s="23" t="str">
        <x:v>~022082118537772280232</x:v>
      </x:c>
      <x:c r="D79" s="23" t="str">
        <x:v>AI-агенты и оркестрация</x:v>
      </x:c>
      <x:c r="E79" s="29" t="n">
        <x:v>65</x:v>
      </x:c>
      <x:c r="F79" s="23" t="str">
        <x:v>60-69% - частичное</x:v>
      </x:c>
      <x:c r="G79" s="23" t="str">
        <x:v>captured - recheck</x:v>
      </x:c>
      <x:c r="H79" s="23" t="str">
        <x:v>hourly</x:v>
      </x:c>
      <x:c r="I79" s="23" t="str">
        <x:v>AI Automation Engineer</x:v>
      </x:c>
      <x:c r="J79" s="23" t="str">
        <x:v>Ищут инженера, который будет самостоятельно вести долгосрочные production-проекты по AI-агентам, LLM-интеграциям и автоматизации. В обязанности входят разработка, эксплуатация и оптимизация AI-систем вместе с другими командами.</x:v>
      </x:c>
      <x:c r="K79" s="23" t="str">
        <x:v>AI-агенты, API, Claude, Supabase и production-автоматизация хорошо совпадают с техническим профилем. Долгосрочная работа может дать глубокий опыт эксплуатации агентных систем.</x:v>
      </x:c>
      <x:c r="L79" s="23" t="str">
        <x:v>Описание не содержит конкретного продукта, workflow, deliverables или данных о клиенте, поэтому оценка экономики и solo feasibility ограничена. Это роль более чем на шесть месяцев, а диапазон ставки очень широкий: $10-$50.</x:v>
      </x:c>
      <x:c r="M79" s="23" t="str">
        <x:v>Hourly: $10-$50</x:v>
      </x:c>
      <x:c r="N79" s="23" t="str">
        <x:v>missing</x:v>
      </x:c>
      <x:c r="O79" s="26" t="str">
        <x:v>20 to 50</x:v>
      </x:c>
      <x:c r="P79" s="23" t="str">
        <x:v>2 hours ago</x:v>
      </x:c>
      <x:c r="Q79" s="23"/>
      <x:c r="R79" s="23" t="str">
        <x:v>https://www.upwork.com/jobs/Automation-Engineer_~022082118537772280232/?referrer_url_path=find_work_home</x:v>
      </x:c>
      <x:c r="S79" s="23" t="str">
        <x:v>AI-агенты и оркестрация</x:v>
      </x:c>
      <x:c r="T79" s="23" t="str">
        <x:v>best_matches</x:v>
      </x:c>
    </x:row>
    <x:row r="80" ht="48" customHeight="1">
      <x:c r="A80" s="26" t="n">
        <x:v>76</x:v>
      </x:c>
      <x:c r="B80" s="23" t="str">
        <x:v>Upwork</x:v>
      </x:c>
      <x:c r="C80" s="23" t="str">
        <x:v>~022080259272497837564</x:v>
      </x:c>
      <x:c r="D80" s="23" t="str">
        <x:v>Голос и мультимедиа</x:v>
      </x:c>
      <x:c r="E80" s="29" t="n">
        <x:v>65</x:v>
      </x:c>
      <x:c r="F80" s="23" t="str">
        <x:v>60-69% - частичное</x:v>
      </x:c>
      <x:c r="G80" s="23" t="str">
        <x:v>captured - recheck</x:v>
      </x:c>
      <x:c r="H80" s="23" t="str">
        <x:v>hourly</x:v>
      </x:c>
      <x:c r="I80" s="23" t="str">
        <x:v>AI Calling Agent &amp; AI Chatbot Developer for Business Automation</x:v>
      </x:c>
      <x:c r="J80" s="23" t="str">
        <x:v>Требуется единая система из телефонного AI-агента и веб-чатбота для ответов, квалификации лидов, записи на встречи и передачи диалога человеку. В объем входят CRM, календарь, база знаний, история разговоров, аналитика и production-развертывание.</x:v>
      </x:c>
      <x:c r="K80" s="23" t="str">
        <x:v>Сильное совпадение по LLM, Node.js/API, RAG, автоматизации, CRM и обработке клиентских обращений; значительная часть решения может переиспользоваться в Kora.</x:v>
      </x:c>
      <x:c r="L80" s="23" t="str">
        <x:v>Voice и телефония требуют специализированного опыта с Twilio, Retell или аналогами; проект большой, 30+ часов в неделю, у клиента пока нет расходов и рейтинга.</x:v>
      </x:c>
      <x:c r="M80" s="23" t="str">
        <x:v>Hourly: $25.00 - $40.00</x:v>
      </x:c>
      <x:c r="N80" s="23" t="str">
        <x:v>verified</x:v>
      </x:c>
      <x:c r="O80" s="26" t="str">
        <x:v>20 to 50</x:v>
      </x:c>
      <x:c r="P80" s="23" t="str">
        <x:v>5 days ago</x:v>
      </x:c>
      <x:c r="Q80" s="23" t="str">
        <x:v>Pakistan</x:v>
      </x:c>
      <x:c r="R80" s="23" t="str">
        <x:v>https://www.upwork.com/jobs/span-class-highlight-span-Calling-span-class-highlight-Agent-span-amp-span-class-highlight-span-Chatbot-Developer-for-Business-span-class-highlight-Automation-span_~022080259272497837564/?referrer_url_path=/nx/search/jobs/</x:v>
      </x:c>
      <x:c r="S80" s="23" t="str">
        <x:v>Голосовые агенты</x:v>
      </x:c>
      <x:c r="T80" s="23" t="str">
        <x:v>search:AI agent automation:page6</x:v>
      </x:c>
    </x:row>
    <x:row r="81" ht="48" customHeight="1">
      <x:c r="A81" s="26" t="n">
        <x:v>77</x:v>
      </x:c>
      <x:c r="B81" s="23" t="str">
        <x:v>Upwork</x:v>
      </x:c>
      <x:c r="C81" s="23" t="str">
        <x:v>~022081279807421760253</x:v>
      </x:c>
      <x:c r="D81" s="23" t="str">
        <x:v>Автоматизация процессов и интеграции</x:v>
      </x:c>
      <x:c r="E81" s="29" t="n">
        <x:v>65</x:v>
      </x:c>
      <x:c r="F81" s="23" t="str">
        <x:v>60-69% - частичное</x:v>
      </x:c>
      <x:c r="G81" s="23" t="str">
        <x:v>captured - recheck</x:v>
      </x:c>
      <x:c r="H81" s="23" t="str">
        <x:v>hourly</x:v>
      </x:c>
      <x:c r="I81" s="23" t="str">
        <x:v>Ai Claude automation expert</x:v>
      </x:c>
      <x:c r="J81" s="23" t="str">
        <x:v>Турагентству нужна автоматизация, которая проходит по нескольким порталам и сообщает, где найдено лучшее ценовое предложение по запросу.</x:v>
      </x:c>
      <x:c r="K81" s="23" t="str">
        <x:v>Есть полезное совпадение по Claude, web automation, сравнению структурированных результатов и автоматизации повторяющегося бизнес-процесса.</x:v>
      </x:c>
      <x:c r="L81" s="23" t="str">
        <x:v>Описание слишком короткое: не указаны порталы, способы доступа, правила сравнения и формат результата; клиент без подтвержденной оплаты и расходов, 20-50 предложений.</x:v>
      </x:c>
      <x:c r="M81" s="23" t="str">
        <x:v>Hourly</x:v>
      </x:c>
      <x:c r="N81" s="23" t="str">
        <x:v>unverified</x:v>
      </x:c>
      <x:c r="O81" s="26" t="str">
        <x:v>20 to 50</x:v>
      </x:c>
      <x:c r="P81" s="23" t="str">
        <x:v>2 days ago</x:v>
      </x:c>
      <x:c r="Q81" s="23" t="str">
        <x:v>India</x:v>
      </x:c>
      <x:c r="R81" s="23" t="str">
        <x:v>https://www.upwork.com/jobs/span-class-highlight-span-Claude-span-class-highlight-automation-span-expert_~022081279807421760253/?referrer_url_path=/nx/search/jobs/</x:v>
      </x:c>
      <x:c r="S81" s="23" t="str">
        <x:v>Автоматизация процессов и интеграции</x:v>
      </x:c>
      <x:c r="T81" s="23" t="str">
        <x:v>search:AI agent automation:page7</x:v>
      </x:c>
    </x:row>
    <x:row r="82" ht="48" customHeight="1">
      <x:c r="A82" s="26" t="n">
        <x:v>78</x:v>
      </x:c>
      <x:c r="B82" s="23" t="str">
        <x:v>Upwork</x:v>
      </x:c>
      <x:c r="C82" s="23" t="str">
        <x:v>~022070684855642596842</x:v>
      </x:c>
      <x:c r="D82" s="23" t="str">
        <x:v>AI-агенты и оркестрация</x:v>
      </x:c>
      <x:c r="E82" s="29" t="n">
        <x:v>65</x:v>
      </x:c>
      <x:c r="F82" s="23" t="str">
        <x:v>60-69% - частичное</x:v>
      </x:c>
      <x:c r="G82" s="23" t="str">
        <x:v>captured - recheck</x:v>
      </x:c>
      <x:c r="H82" s="23" t="str">
        <x:v>hourly</x:v>
      </x:c>
      <x:c r="I82" s="23" t="str">
        <x:v>AI Developer – Agents &amp; Automation (Long-Term, Rev Share)</x:v>
      </x:c>
      <x:c r="J82" s="23" t="str">
        <x:v>AI-агентство ищет долгосрочного разработчика для создания кастомных агентов, многошаговых LLM-пайплайнов, интеграций и развертываний для клиентов. Оплата заявлена как доля 10-30% от выручки по клиенту.</x:v>
      </x:c>
      <x:c r="K82" s="23" t="str">
        <x:v>Тематика хорошо совпадает с опытом в агентах, API и автоматизациях, а разнообразие клиентских задач может дать продуктовые наблюдения для Kora.</x:v>
      </x:c>
      <x:c r="L82" s="23" t="str">
        <x:v>Нет гарантированной оплаты: модель полностью основана на revenue share; у клиента нет истории расходов и рейтинга, а заявленный потенциальный доход ничем не подтвержден.</x:v>
      </x:c>
      <x:c r="M82" s="23" t="str">
        <x:v>Hourly: $19.00 - $40.00</x:v>
      </x:c>
      <x:c r="N82" s="23" t="str">
        <x:v>verified</x:v>
      </x:c>
      <x:c r="O82" s="26" t="str">
        <x:v>20 to 50</x:v>
      </x:c>
      <x:c r="P82" s="23" t="str">
        <x:v>last month</x:v>
      </x:c>
      <x:c r="Q82" s="23" t="str">
        <x:v>United States</x:v>
      </x:c>
      <x:c r="R82" s="23" t="str">
        <x:v>https://www.upwork.com/jobs/span-class-highlight-span-Developer-span-class-highlight-Agents-span-amp-span-class-highlight-Automation-span-Long-Term-Rev-Share_~022070684855642596842/?referrer_url_path=/nx/search/jobs/</x:v>
      </x:c>
      <x:c r="S82" s="23" t="str">
        <x:v>AI-агенты и оркестрация</x:v>
      </x:c>
      <x:c r="T82" s="23" t="str">
        <x:v>search:AI agent automation:page7</x:v>
      </x:c>
    </x:row>
    <x:row r="83" ht="48" customHeight="1">
      <x:c r="A83" s="26" t="n">
        <x:v>79</x:v>
      </x:c>
      <x:c r="B83" s="23" t="str">
        <x:v>Upwork</x:v>
      </x:c>
      <x:c r="C83" s="23" t="str">
        <x:v>~022075872587089215205</x:v>
      </x:c>
      <x:c r="D83" s="23" t="str">
        <x:v>Контент и медиа</x:v>
      </x:c>
      <x:c r="E83" s="29" t="n">
        <x:v>65</x:v>
      </x:c>
      <x:c r="F83" s="23" t="str">
        <x:v>60-69% - частичное</x:v>
      </x:c>
      <x:c r="G83" s="23" t="str">
        <x:v>captured - recheck</x:v>
      </x:c>
      <x:c r="H83" s="23" t="str">
        <x:v>hourly</x:v>
      </x:c>
      <x:c r="I83" s="23" t="str">
        <x:v>Fractional AI Automation Partner</x:v>
      </x:c>
      <x:c r="J83" s="23" t="str">
        <x:v>Бренд хочет партнера, который построит и будет эксплуатировать портфель автономных агентов для контента, копирайтинга, дизайна, Shopify, SEO и email-маркетинга. Результаты планируют оценивать по росту клиентской базы, выручки, удержания и бренда.</x:v>
      </x:c>
      <x:c r="K83" s="23" t="str">
        <x:v>Подход с набором специализированных агентов, надежной эксплуатацией и human-in-the-loop близок продуктовой архитектуре Kora и требует навыков LLM-интеграции.</x:v>
      </x:c>
      <x:c r="L83" s="23" t="str">
        <x:v>Роль охватывает слишком много маркетинговых дисциплин и требует личной ответственности за бизнес-метрики, ежедневного взаимодействия и 30+ часов в неделю. Клиент без подтвержденной оплаты и истории; требуется знание Shopify, Klaviyo, SEO и дизайна.</x:v>
      </x:c>
      <x:c r="M83" s="23" t="str">
        <x:v>Hourly: $50.00 - $250.00</x:v>
      </x:c>
      <x:c r="N83" s="23" t="str">
        <x:v>unverified</x:v>
      </x:c>
      <x:c r="O83" s="26" t="str">
        <x:v>20 to 50</x:v>
      </x:c>
      <x:c r="P83" s="23" t="str">
        <x:v>3 weeks ago</x:v>
      </x:c>
      <x:c r="Q83" s="23" t="str">
        <x:v>Denmark</x:v>
      </x:c>
      <x:c r="R83" s="23" t="str">
        <x:v>https://www.upwork.com/jobs/Fractional-span-class-highlight-span-span-class-highlight-Automation-span-Partner_~022075872587089215205/?referrer_url_path=/nx/search/jobs/</x:v>
      </x:c>
      <x:c r="S83" s="23" t="str">
        <x:v>Контент и маркетинговая автоматизация</x:v>
      </x:c>
      <x:c r="T83" s="23" t="str">
        <x:v>search:AI agent automation:page3</x:v>
      </x:c>
    </x:row>
    <x:row r="84" ht="48" customHeight="1">
      <x:c r="A84" s="26" t="n">
        <x:v>80</x:v>
      </x:c>
      <x:c r="B84" s="23" t="str">
        <x:v>Upwork</x:v>
      </x:c>
      <x:c r="C84" s="23" t="str">
        <x:v>~022082111941222607272</x:v>
      </x:c>
      <x:c r="D84" s="23" t="str">
        <x:v>RAG и базы знаний</x:v>
      </x:c>
      <x:c r="E84" s="29" t="n">
        <x:v>65</x:v>
      </x:c>
      <x:c r="F84" s="23" t="str">
        <x:v>60-69% - частичное</x:v>
      </x:c>
      <x:c r="G84" s="23" t="str">
        <x:v>captured - recheck</x:v>
      </x:c>
      <x:c r="H84" s="23" t="str">
        <x:v>hourly</x:v>
      </x:c>
      <x:c r="I84" s="23" t="str">
        <x:v>Lead Applied AI Engineer – Agentic RAG &amp; Geospatial Copilot</x:v>
      </x:c>
      <x:c r="J84" s="23" t="str">
        <x:v>Для GIS-платформы SmartView нужен контекстный copilot, который объединяет геоданные, сенсоры, изображения, историю, стандарты и внешние системы, ведет диалог и формирует проверяемые рекомендации для дорожной инфраструктуры. Scope включает agentic RAG, PostGIS, multimodal context, human approval, evaluation, API, deployment и передачу решения команде.</x:v>
      </x:c>
      <x:c r="K84" s="23" t="str">
        <x:v>RAG, tool calling, structured outputs, human review, API и observability совпадают с сильными сторонами AI-agent разработки. Требования очень подробно описаны, а клиент подтвержден с рейтингом 4,5.</x:v>
      </x:c>
      <x:c r="L84" s="23" t="str">
        <x:v>GIS, PostGIS, сенсорные данные, дорожная безопасность и multimodal decision support создают существенный предметный и технический gap. Проект рассчитан более чем на шесть месяцев и 30+ часов, требует NDA и полной передачи IP; ставка в карточке не видна.</x:v>
      </x:c>
      <x:c r="M84" s="23" t="str">
        <x:v>Hourly</x:v>
      </x:c>
      <x:c r="N84" s="23" t="str">
        <x:v>verified</x:v>
      </x:c>
      <x:c r="O84" s="26" t="str">
        <x:v>20 to 50</x:v>
      </x:c>
      <x:c r="P84" s="23" t="str">
        <x:v>2 hours ago</x:v>
      </x:c>
      <x:c r="Q84" s="23" t="str">
        <x:v>Netherlands</x:v>
      </x:c>
      <x:c r="R84" s="23" t="str">
        <x:v>https://www.upwork.com/jobs/Lead-Applied-Engineer-Agentic-RAG-Geospatial-Copilot_~022082111941222607272/?referrer_url_path=find_work_home</x:v>
      </x:c>
      <x:c r="S84" s="23" t="str">
        <x:v>RAG и базы знаний</x:v>
      </x:c>
      <x:c r="T84" s="23" t="str">
        <x:v>best_matches</x:v>
      </x:c>
    </x:row>
    <x:row r="85" ht="48" customHeight="1">
      <x:c r="A85" s="26" t="n">
        <x:v>81</x:v>
      </x:c>
      <x:c r="B85" s="23" t="str">
        <x:v>Upwork</x:v>
      </x:c>
      <x:c r="C85" s="23" t="str">
        <x:v>~022081439024363157677</x:v>
      </x:c>
      <x:c r="D85" s="23" t="str">
        <x:v>Автоматизация процессов и интеграции</x:v>
      </x:c>
      <x:c r="E85" s="29" t="n">
        <x:v>60</x:v>
      </x:c>
      <x:c r="F85" s="23" t="str">
        <x:v>60-69% - частичное</x:v>
      </x:c>
      <x:c r="G85" s="23" t="str">
        <x:v>captured - recheck</x:v>
      </x:c>
      <x:c r="H85" s="23" t="str">
        <x:v>hourly</x:v>
      </x:c>
      <x:c r="I85" s="23" t="str">
        <x:v>AI Automation Developer Needed (Workflows + AI Agents) - UK &amp; US only</x:v>
      </x:c>
      <x:c r="J85" s="23" t="str">
        <x:v>Ищут разработчика на 3-6 месяцев и более 30 часов в неделю для AI-workflow и агентов на Zapier, Make или n8n с production API-интеграциями. Просят показать реальные прошлые автоматизации и отдельно предупреждают, что AI-сгенерированные отклики отклонят.</x:v>
      </x:c>
      <x:c r="K85" s="23" t="str">
        <x:v>AI-агенты, API и workflow automation технически хорошо совпадают с Давидом, ставка $40-60 в час выглядит рабочей. Однако карточка почти не раскрывает конкретные процессы, а длительная высокая загрузка дает меньше прямой пользы для развития Kora.</x:v>
      </x:c>
      <x:c r="L85" s="23" t="str">
        <x:v>В заголовке явно указано ограничение UK &amp; US only, поэтому при текущей локации Давида заявка, вероятно, не пройдет. У клиента нет расходов и рейтинга, уже 20-50 предложений, и принимаются только подтверждаемые реальные кейсы.</x:v>
      </x:c>
      <x:c r="M85" s="23" t="str">
        <x:v>Hourly: $40.00 - $60.00</x:v>
      </x:c>
      <x:c r="N85" s="23" t="str">
        <x:v>verified</x:v>
      </x:c>
      <x:c r="O85" s="26" t="str">
        <x:v>20 to 50</x:v>
      </x:c>
      <x:c r="P85" s="23" t="str">
        <x:v>yesterday</x:v>
      </x:c>
      <x:c r="Q85" s="23" t="str">
        <x:v>United Kingdom</x:v>
      </x:c>
      <x:c r="R85" s="23" t="str">
        <x:v>https://www.upwork.com/jobs/span-class-highlight-span-span-class-highlight-Automation-span-Developer-Needed-Workflows-span-class-highlight-span-span-class-highlight-Agents-span-amp-only_~022081439024363157677/?referrer_url_path=/nx/search/jobs/</x:v>
      </x:c>
      <x:c r="S85" s="23" t="str">
        <x:v>Автоматизация процессов и интеграции</x:v>
      </x:c>
      <x:c r="T85" s="23" t="str">
        <x:v>search:AI agent automation:page2</x:v>
      </x:c>
    </x:row>
    <x:row r="86" ht="48" customHeight="1">
      <x:c r="A86" s="26" t="n">
        <x:v>82</x:v>
      </x:c>
      <x:c r="B86" s="23" t="str">
        <x:v>Upwork</x:v>
      </x:c>
      <x:c r="C86" s="23" t="str">
        <x:v>~022082137366436439221</x:v>
      </x:c>
      <x:c r="D86" s="23" t="str">
        <x:v>Автоматизация процессов и интеграции</x:v>
      </x:c>
      <x:c r="E86" s="29" t="n">
        <x:v>60</x:v>
      </x:c>
      <x:c r="F86" s="23" t="str">
        <x:v>60-69% - частичное</x:v>
      </x:c>
      <x:c r="G86" s="23" t="str">
        <x:v>captured - recheck</x:v>
      </x:c>
      <x:c r="H86" s="23" t="str">
        <x:v>не указано</x:v>
      </x:c>
      <x:c r="I86" s="23" t="str">
        <x:v>AI Automation Developer: Build AI Agent Chatbot Alerts via n8n, make.com and claude ai</x:v>
      </x:c>
      <x:c r="J86" s="23" t="str">
        <x:v>Нужно быстро настроить внутреннее уведомление через n8n, Zapier или Make.com с использованием Claude. Описание дополнительно перечисляет более широкие навыки AI-агентов, CRM, lead generation и sales-автоматизации, но не раскрывает сам триггер и формат уведомления.</x:v>
      </x:c>
      <x:c r="K86" s="23" t="str">
        <x:v>Небольшой workflow на Claude и automation-платформе технически близок Давиду и может быть быстро реализован после уточнения деталей. Клиент подтвержден, имеет рейтинг 5.0 и $2K+ расходов.</x:v>
      </x:c>
      <x:c r="L86" s="23" t="str">
        <x:v>Критерии приемки и конкретные интеграции не описаны, а фиксированный бюджет $10 несоразмерен требованиям к экспертному уровню. Уже 20-50 предложений; практический опыт с выбранной no-code платформой не подтвержден.</x:v>
      </x:c>
      <x:c r="M86" s="23" t="str">
        <x:v>$10.00</x:v>
      </x:c>
      <x:c r="N86" s="23" t="str">
        <x:v>verified</x:v>
      </x:c>
      <x:c r="O86" s="26" t="str">
        <x:v>20 to 50</x:v>
      </x:c>
      <x:c r="P86" s="23" t="str">
        <x:v>1 hour ago</x:v>
      </x:c>
      <x:c r="Q86" s="23" t="str">
        <x:v>United States</x:v>
      </x:c>
      <x:c r="R86" s="23" t="str">
        <x:v>https://www.upwork.com/jobs/span-class-highlight-span-span-class-highlight-Automation-span-Developer-Build-span-class-highlight-span-span-class-highlight-Agent-span-Chatbot-Alerts-via-n8n-make-com-and-claude-span-class-highlight-span_~022082137366436439221/?referrer_url_path=/nx/search/jobs/</x:v>
      </x:c>
      <x:c r="S86" s="23" t="str">
        <x:v>Автоматизация процессов и интеграции</x:v>
      </x:c>
      <x:c r="T86" s="23" t="str">
        <x:v>search:AI agent automation:page1</x:v>
      </x:c>
    </x:row>
    <x:row r="87" ht="48" customHeight="1">
      <x:c r="A87" s="26" t="n">
        <x:v>83</x:v>
      </x:c>
      <x:c r="B87" s="23" t="str">
        <x:v>Upwork</x:v>
      </x:c>
      <x:c r="C87" s="23" t="str">
        <x:v>~022075920337694781992</x:v>
      </x:c>
      <x:c r="D87" s="23" t="str">
        <x:v>Чат-боты, поддержка и CRM</x:v>
      </x:c>
      <x:c r="E87" s="29" t="n">
        <x:v>60</x:v>
      </x:c>
      <x:c r="F87" s="23" t="str">
        <x:v>60-69% - частичное</x:v>
      </x:c>
      <x:c r="G87" s="23" t="str">
        <x:v>captured - recheck</x:v>
      </x:c>
      <x:c r="H87" s="23" t="str">
        <x:v>не указано</x:v>
      </x:c>
      <x:c r="I87" s="23" t="str">
        <x:v>AI Automation Expert</x:v>
      </x:c>
      <x:c r="J87" s="23" t="str">
        <x:v>Нужно создать полностью работающего AI-агента клиентской поддержки для интернет-магазина. Каналы, база знаний, интеграции, правила эскалации и критерии качества в карточке не указаны.</x:v>
      </x:c>
      <x:c r="K87" s="23" t="str">
        <x:v>AI-поддержка потенциально хорошо ложится на агентную платформу и может использовать Kora для диалогов, инструментов и эскалации. Бюджет $1500, подтвержденная оплата, рейтинг 5.0 и более $2000 расходов выглядят неплохо.</x:v>
      </x:c>
      <x:c r="L87" s="23" t="str">
        <x:v>Описание состоит из одной фразы, поэтому невозможно оценить фактический объем и соответствие стеку. Нужно сначала выяснить каналы, ecommerce-платформу, языки, RAG, действия агента и human handoff; откликов 50+.</x:v>
      </x:c>
      <x:c r="M87" s="23" t="str">
        <x:v>$1,500.00</x:v>
      </x:c>
      <x:c r="N87" s="23" t="str">
        <x:v>verified</x:v>
      </x:c>
      <x:c r="O87" s="26" t="str">
        <x:v>50+</x:v>
      </x:c>
      <x:c r="P87" s="23" t="str">
        <x:v>3 weeks ago</x:v>
      </x:c>
      <x:c r="Q87" s="23" t="str">
        <x:v>DNK</x:v>
      </x:c>
      <x:c r="R87" s="23" t="str">
        <x:v>https://www.upwork.com/jobs/span-class-highlight-span-span-class-highlight-Automation-span-Expert_~022075920337694781992/?referrer_url_path=/nx/search/jobs/</x:v>
      </x:c>
      <x:c r="S87" s="23" t="str">
        <x:v>Чат-боты, поддержка и CRM</x:v>
      </x:c>
      <x:c r="T87" s="23" t="str">
        <x:v>search:AI agent automation:page5</x:v>
      </x:c>
    </x:row>
    <x:row r="88" ht="48" customHeight="1">
      <x:c r="A88" s="26" t="n">
        <x:v>84</x:v>
      </x:c>
      <x:c r="B88" s="23" t="str">
        <x:v>Upwork</x:v>
      </x:c>
      <x:c r="C88" s="23" t="str">
        <x:v>~022080323727208301309</x:v>
      </x:c>
      <x:c r="D88" s="23" t="str">
        <x:v>Контент и медиа</x:v>
      </x:c>
      <x:c r="E88" s="29" t="n">
        <x:v>60</x:v>
      </x:c>
      <x:c r="F88" s="23" t="str">
        <x:v>60-69% - частичное</x:v>
      </x:c>
      <x:c r="G88" s="23" t="str">
        <x:v>captured - recheck</x:v>
      </x:c>
      <x:c r="H88" s="23" t="str">
        <x:v>hourly</x:v>
      </x:c>
      <x:c r="I88" s="23" t="str">
        <x:v>AI Marketing Automation Expert for Multi-Channel Social Media</x:v>
      </x:c>
      <x:c r="J88" s="23" t="str">
        <x:v>Британскому интернет-магазину с примерно 6000 товарами нужен маркетинговый агент, который генерирует и адаптирует посты, изображения, подписи и хэштеги, планирует публикации и кампании по нескольким соцсетям. Система также должна анализировать результаты и улучшать будущий контент.</x:v>
      </x:c>
      <x:c r="K88" s="23" t="str">
        <x:v>Здесь есть агентная автоматизация, интеграции с платформами, планирование и аналитика, поэтому базовый технический fit присутствует. Однако задача в основном про массовое создание и дистрибуцию маркетингового контента, что слабее связано с основным операционным контуром Kora.</x:v>
      </x:c>
      <x:c r="L88" s="23" t="str">
        <x:v>Не указана ставка и не описаны конкретные платформы, критерии приемки и источники аналитики. У клиента $0 расходов, нет рейтинга и уже 50+ откликов.</x:v>
      </x:c>
      <x:c r="M88" s="23" t="str">
        <x:v>Hourly</x:v>
      </x:c>
      <x:c r="N88" s="23" t="str">
        <x:v>verified</x:v>
      </x:c>
      <x:c r="O88" s="26" t="str">
        <x:v>50+</x:v>
      </x:c>
      <x:c r="P88" s="23" t="str">
        <x:v>5 days ago</x:v>
      </x:c>
      <x:c r="Q88" s="23" t="str">
        <x:v>United Kingdom</x:v>
      </x:c>
      <x:c r="R88" s="23" t="str">
        <x:v>https://www.upwork.com/jobs/span-class-highlight-span-Marketing-span-class-highlight-Automation-span-Expert-for-Multi-Channel-Social-Media_~022080323727208301309/?referrer_url_path=/nx/search/jobs/</x:v>
      </x:c>
      <x:c r="S88" s="23" t="str">
        <x:v>Контент и маркетинговая автоматизация</x:v>
      </x:c>
      <x:c r="T88" s="23" t="str">
        <x:v>search:AI agent automation:page4</x:v>
      </x:c>
    </x:row>
    <x:row r="89" ht="48" customHeight="1">
      <x:c r="A89" s="26" t="n">
        <x:v>85</x:v>
      </x:c>
      <x:c r="B89" s="23" t="str">
        <x:v>Upwork</x:v>
      </x:c>
      <x:c r="C89" s="23" t="str">
        <x:v>~022081759788785210780</x:v>
      </x:c>
      <x:c r="D89" s="23" t="str">
        <x:v>Голос и мультимедиа</x:v>
      </x:c>
      <x:c r="E89" s="29" t="n">
        <x:v>60</x:v>
      </x:c>
      <x:c r="F89" s="23" t="str">
        <x:v>60-69% - частичное</x:v>
      </x:c>
      <x:c r="G89" s="23" t="str">
        <x:v>captured - recheck</x:v>
      </x:c>
      <x:c r="H89" s="23" t="str">
        <x:v>не указано</x:v>
      </x:c>
      <x:c r="I89" s="23" t="str">
        <x:v>Ecommerce Automation Expert (n8n/make + Retell AI)</x:v>
      </x:c>
      <x:c r="J89" s="23" t="str">
        <x:v>Нужно построить входящего и исходящего voice-агента для e-commerce: отвечать на звонки, проверять статусы заказов, возвращать брошенные корзины и передавать сложные случаи человеку. Систему требуется связать с Shopify, CRM, WhatsApp и отчетностью через n8n или Make.</x:v>
      </x:c>
      <x:c r="K89" s="23" t="str">
        <x:v>Сильное совпадение по AI-автоматизации, n8n, API, CRM и многошаговым процессам с передачей человеку; значительную часть механики можно переиспользовать в Kora.</x:v>
      </x:c>
      <x:c r="L89" s="23" t="str">
        <x:v>Нужен подтвержденный опыт с Retell или Vapi и голосовой инфраструктурой. Бюджет $150 несоразмерен полному объему, платежи не подтверждены, история клиента отсутствует.</x:v>
      </x:c>
      <x:c r="M89" s="23" t="str">
        <x:v>$150.00</x:v>
      </x:c>
      <x:c r="N89" s="23" t="str">
        <x:v>unverified</x:v>
      </x:c>
      <x:c r="O89" s="26" t="str">
        <x:v>15 to 20</x:v>
      </x:c>
      <x:c r="P89" s="23" t="str">
        <x:v>yesterday</x:v>
      </x:c>
      <x:c r="Q89" s="23" t="str">
        <x:v>India</x:v>
      </x:c>
      <x:c r="R89" s="23" t="str">
        <x:v>https://www.upwork.com/jobs/Ecommerce-span-class-highlight-Automation-span-Expert-n8n-make-Retell-span-class-highlight-span_~022081759788785210780/?referrer_url_path=/nx/search/jobs/</x:v>
      </x:c>
      <x:c r="S89" s="23" t="str">
        <x:v>Голосовые агенты</x:v>
      </x:c>
      <x:c r="T89" s="23" t="str">
        <x:v>search:AI agent automation:page2</x:v>
      </x:c>
    </x:row>
    <x:row r="90" ht="48" customHeight="1">
      <x:c r="A90" s="26" t="n">
        <x:v>86</x:v>
      </x:c>
      <x:c r="B90" s="23" t="str">
        <x:v>Upwork</x:v>
      </x:c>
      <x:c r="C90" s="23" t="str">
        <x:v>~022082113612637017500</x:v>
      </x:c>
      <x:c r="D90" s="23" t="str">
        <x:v>RAG и базы знаний</x:v>
      </x:c>
      <x:c r="E90" s="29" t="n">
        <x:v>60</x:v>
      </x:c>
      <x:c r="F90" s="23" t="str">
        <x:v>60-69% - частичное</x:v>
      </x:c>
      <x:c r="G90" s="23" t="str">
        <x:v>captured - recheck</x:v>
      </x:c>
      <x:c r="H90" s="23" t="str">
        <x:v>hourly</x:v>
      </x:c>
      <x:c r="I90" s="23" t="str">
        <x:v>Software Engineer for Web App</x:v>
      </x:c>
      <x:c r="J90" s="23" t="str">
        <x:v>Нужно провести аудит почти готовой локальной RAG-системы на Windows с Ollama, векторной базой и NVIDIA GPU. Требуется проверить полноту индекса, embeddings, chunking и качество поиска, настроить автоматическое добавление документов и оставить документацию.</x:v>
      </x:c>
      <x:c r="K90" s="23" t="str">
        <x:v>RAG, векторный поиск, ingestion и проверка качества retrieval пересекаются с AI-инженерией и могут дать полезные наработки для Kora. Задача подробно описана и ограничена аудитом с доведением существующей системы до рабочего состояния.</x:v>
      </x:c>
      <x:c r="L90" s="23" t="str">
        <x:v>Требуется узкая практическая экспертиза в локальных LLM, Ollama, Windows, NVIDIA и конкретных vector DB; подтвержденного опыта Давида в этом стеке нет. Клиент без подтвержденной оплаты и истории расходов, конкуренция 20-50 предложений.</x:v>
      </x:c>
      <x:c r="M90" s="23" t="str">
        <x:v>Hourly: $25-$50</x:v>
      </x:c>
      <x:c r="N90" s="23" t="str">
        <x:v>unverified</x:v>
      </x:c>
      <x:c r="O90" s="26" t="str">
        <x:v>20 to 50</x:v>
      </x:c>
      <x:c r="P90" s="23" t="str">
        <x:v>2 hours ago</x:v>
      </x:c>
      <x:c r="Q90" s="23" t="str">
        <x:v>United States</x:v>
      </x:c>
      <x:c r="R90" s="23" t="str">
        <x:v>https://www.upwork.com/jobs/Software-Engineer-for-Web-App_~022082113612637017500/?referrer_url_path=find_work_home</x:v>
      </x:c>
      <x:c r="S90" s="23" t="str">
        <x:v>RAG и базы знаний</x:v>
      </x:c>
      <x:c r="T90" s="23" t="str">
        <x:v>best_matches</x:v>
      </x:c>
    </x:row>
    <x:row r="91" ht="48" customHeight="1">
      <x:c r="A91" s="26" t="n">
        <x:v>87</x:v>
      </x:c>
      <x:c r="B91" s="23" t="str">
        <x:v>Upwork</x:v>
      </x:c>
      <x:c r="C91" s="23" t="str">
        <x:v>~022082029221197911452</x:v>
      </x:c>
      <x:c r="D91" s="23" t="str">
        <x:v>Чат-боты, поддержка и CRM</x:v>
      </x:c>
      <x:c r="E91" s="29" t="n">
        <x:v>55</x:v>
      </x:c>
      <x:c r="F91" s="23" t="str">
        <x:v>0-59% - низкое / off-core</x:v>
      </x:c>
      <x:c r="G91" s="23" t="str">
        <x:v>captured - recheck</x:v>
      </x:c>
      <x:c r="H91" s="23" t="str">
        <x:v>не указано</x:v>
      </x:c>
      <x:c r="I91" s="23" t="str">
        <x:v>AI Agent Developer | Automation &amp; Workflow Specialist</x:v>
      </x:c>
      <x:c r="J91" s="23" t="str">
        <x:v>Нужно улучшить customer support с помощью AI-агентов и автоматизированных workflow. Указаны OpenAI API, API-интеграции и n8n, но конкретные каналы, текущая система и требуемые сценарии поддержки не описаны.</x:v>
      </x:c>
      <x:c r="K91" s="23" t="str">
        <x:v>Технологии и область customer support пересекаются с Kora и опытом Давида в AI-агентах и API. Однако карточка дает только общее направление, поэтому оценить реальную сложность и продуктовую переиспользуемость трудно.</x:v>
      </x:c>
      <x:c r="L91" s="23" t="str">
        <x:v>Фиксированный бюджет $10 при сроке 1-3 месяца выглядит несогласованно. У клиента нет расходов и рейтинга, scope размыт, а конкуренция составляет 20-50 предложений.</x:v>
      </x:c>
      <x:c r="M91" s="23" t="str">
        <x:v>$10.00</x:v>
      </x:c>
      <x:c r="N91" s="23" t="str">
        <x:v>verified</x:v>
      </x:c>
      <x:c r="O91" s="26" t="str">
        <x:v>20 to 50</x:v>
      </x:c>
      <x:c r="P91" s="23" t="str">
        <x:v>8 hours ago</x:v>
      </x:c>
      <x:c r="Q91" s="23" t="str">
        <x:v>Saudi Arabia</x:v>
      </x:c>
      <x:c r="R91" s="23" t="str">
        <x:v>https://www.upwork.com/jobs/span-class-highlight-span-span-class-highlight-Agent-span-Developer-span-class-highlight-Automation-span-amp-Workflow-Specialist_~022082029221197911452/?referrer_url_path=/nx/search/jobs/</x:v>
      </x:c>
      <x:c r="S91" s="23" t="str">
        <x:v>Чат-боты, поддержка и CRM</x:v>
      </x:c>
      <x:c r="T91" s="23" t="str">
        <x:v>search:AI agent automation:page1</x:v>
      </x:c>
    </x:row>
    <x:row r="92" ht="48" customHeight="1">
      <x:c r="A92" s="26" t="n">
        <x:v>88</x:v>
      </x:c>
      <x:c r="B92" s="23" t="str">
        <x:v>Upwork</x:v>
      </x:c>
      <x:c r="C92" s="23" t="str">
        <x:v>~022079383193573406470</x:v>
      </x:c>
      <x:c r="D92" s="23" t="str">
        <x:v>Чат-боты, поддержка и CRM</x:v>
      </x:c>
      <x:c r="E92" s="29" t="n">
        <x:v>55</x:v>
      </x:c>
      <x:c r="F92" s="23" t="str">
        <x:v>0-59% - низкое / off-core</x:v>
      </x:c>
      <x:c r="G92" s="23" t="str">
        <x:v>captured - recheck</x:v>
      </x:c>
      <x:c r="H92" s="23" t="str">
        <x:v>hourly</x:v>
      </x:c>
      <x:c r="I92" s="23" t="str">
        <x:v>AI Agent Developer for Nurse Business Automation</x:v>
      </x:c>
      <x:c r="J92" s="23" t="str">
        <x:v>Для медицинского бизнеса нужен AI-агент, помогающий с расписанием, общением с пациентами и анализом данных. Цель сформулирована как снижение операционной нагрузки и улучшение обслуживания.</x:v>
      </x:c>
      <x:c r="K92" s="23" t="str">
        <x:v>Коммуникации, расписание и автоматизация относятся к продуктовой зоне Kora, однако описание не задает конкретных каналов, интеграций или критериев приемки.</x:v>
      </x:c>
      <x:c r="L92" s="23" t="str">
        <x:v>Scope слишком общий для надежной оценки, а работа с пациентами и медицинскими данными повышает требования к безопасности и соответствию нормам. Платежи не подтверждены, история отсутствует, конкуренция превышает 50 заявок.</x:v>
      </x:c>
      <x:c r="M92" s="23" t="str">
        <x:v>Hourly: $20.00 - $40.00</x:v>
      </x:c>
      <x:c r="N92" s="23" t="str">
        <x:v>unverified</x:v>
      </x:c>
      <x:c r="O92" s="26" t="str">
        <x:v>50+</x:v>
      </x:c>
      <x:c r="P92" s="23" t="str">
        <x:v>last week</x:v>
      </x:c>
      <x:c r="Q92" s="23" t="str">
        <x:v>United States</x:v>
      </x:c>
      <x:c r="R92" s="23" t="str">
        <x:v>https://www.upwork.com/jobs/span-class-highlight-span-span-class-highlight-Agent-span-Developer-for-Nurse-Business-span-class-highlight-Automation-span_~022079383193573406470/?referrer_url_path=/nx/search/jobs/</x:v>
      </x:c>
      <x:c r="S92" s="23" t="str">
        <x:v>Чат-боты, поддержка и CRM</x:v>
      </x:c>
      <x:c r="T92" s="23" t="str">
        <x:v>search:AI agent automation:page3</x:v>
      </x:c>
    </x:row>
    <x:row r="93" ht="48" customHeight="1">
      <x:c r="A93" s="26" t="n">
        <x:v>89</x:v>
      </x:c>
      <x:c r="B93" s="23" t="str">
        <x:v>Upwork</x:v>
      </x:c>
      <x:c r="C93" s="23" t="str">
        <x:v>~022081899401786284023</x:v>
      </x:c>
      <x:c r="D93" s="23" t="str">
        <x:v>AI-продукты и full-stack</x:v>
      </x:c>
      <x:c r="E93" s="29" t="n">
        <x:v>55</x:v>
      </x:c>
      <x:c r="F93" s="23" t="str">
        <x:v>0-59% - низкое / off-core</x:v>
      </x:c>
      <x:c r="G93" s="23" t="str">
        <x:v>captured - recheck</x:v>
      </x:c>
      <x:c r="H93" s="23" t="str">
        <x:v>hourly</x:v>
      </x:c>
      <x:c r="I93" s="23" t="str">
        <x:v>AI Engineer for Local AI Assistant</x:v>
      </x:c>
      <x:c r="J93" s="23" t="str">
        <x:v>Нужно создать локального AI-ассистента на Python с Ollama и Llama или Qwen, RAG, векторной базой, памятью, распознаванием и синтезом речи. Клиент описывает его как комплексную систему для выполнения разных задач.</x:v>
      </x:c>
      <x:c r="K93" s="23" t="str">
        <x:v>RAG, память и архитектура ассистента пересекаются с Kora, а задача достаточно конкретно перечисляет основные технологии. Ставка $30-$60 выглядит приемлемо.</x:v>
      </x:c>
      <x:c r="L93" s="23" t="str">
        <x:v>Локальные модели, Python, Ollama, оптимизация инференса и voice-часть слабее совпадают с основным Node.js и cloud-профилем. Клиент без подтвержденной оплаты и истории; карточка похожа на более подробную задачу в строке 19.</x:v>
      </x:c>
      <x:c r="M93" s="23" t="str">
        <x:v>Hourly: $30-$60</x:v>
      </x:c>
      <x:c r="N93" s="23" t="str">
        <x:v>unverified</x:v>
      </x:c>
      <x:c r="O93" s="26" t="str">
        <x:v>20 to 50</x:v>
      </x:c>
      <x:c r="P93" s="23" t="str">
        <x:v>17 hours ago</x:v>
      </x:c>
      <x:c r="Q93" s="23" t="str">
        <x:v>Algeria</x:v>
      </x:c>
      <x:c r="R93" s="23" t="str">
        <x:v>https://www.upwork.com/jobs/Engineer-for-Local-Assistant_~022081899401786284023/?referrer_url_path=find_work_home</x:v>
      </x:c>
      <x:c r="S93" s="23" t="str">
        <x:v>AI-продукты и full-stack</x:v>
      </x:c>
      <x:c r="T93" s="23" t="str">
        <x:v>best_matches</x:v>
      </x:c>
    </x:row>
    <x:row r="94" ht="48" customHeight="1">
      <x:c r="A94" s="26" t="n">
        <x:v>90</x:v>
      </x:c>
      <x:c r="B94" s="23" t="str">
        <x:v>Upwork</x:v>
      </x:c>
      <x:c r="C94" s="23" t="str">
        <x:v>~022081435229822731005</x:v>
      </x:c>
      <x:c r="D94" s="23" t="str">
        <x:v>Контент и медиа</x:v>
      </x:c>
      <x:c r="E94" s="29" t="n">
        <x:v>55</x:v>
      </x:c>
      <x:c r="F94" s="23" t="str">
        <x:v>0-59% - низкое / off-core</x:v>
      </x:c>
      <x:c r="G94" s="23" t="str">
        <x:v>captured - recheck</x:v>
      </x:c>
      <x:c r="H94" s="23" t="str">
        <x:v>hourly</x:v>
      </x:c>
      <x:c r="I94" s="23" t="str">
        <x:v>n8n, Make com, Zapier, Claude Code Expert | AI Agent, API Automation</x:v>
      </x:c>
      <x:c r="J94" s="23" t="str">
        <x:v>Нужно автоматизировать переработку большого архива путешествий в YouTube-видео и короткие ролики: обработка файлов, субтитры, монтажные варианты, очередь согласования и публикация в социальные сети. Предлагаемый стек включает n8n, Python, FFmpeg, OpenAI или Gemini и Creatomate.</x:v>
      </x:c>
      <x:c r="K94" s="23" t="str">
        <x:v>Совпадают n8n, API, LLM и проектирование workflow с ручным согласованием, но основная ценность лежит в видеопроизводстве, а не в ядре Kora.</x:v>
      </x:c>
      <x:c r="L94" s="23" t="str">
        <x:v>Нужны подтвержденные навыки FFmpeg, AI-видеопайплайнов, работы с крупными медиафайлами и API социальных платформ. Клиент без истории расходов, конкуренция превышает 50 заявок.</x:v>
      </x:c>
      <x:c r="M94" s="23" t="str">
        <x:v>Hourly</x:v>
      </x:c>
      <x:c r="N94" s="23" t="str">
        <x:v>verified</x:v>
      </x:c>
      <x:c r="O94" s="26" t="str">
        <x:v>50+</x:v>
      </x:c>
      <x:c r="P94" s="23" t="str">
        <x:v>2 days ago</x:v>
      </x:c>
      <x:c r="Q94" s="23" t="str">
        <x:v>United States</x:v>
      </x:c>
      <x:c r="R94" s="23" t="str">
        <x:v>https://www.upwork.com/jobs/n8n-Make-com-Zapier-Claude-Code-Expert-span-class-highlight-span-span-class-highlight-Agent-span-API-span-class-highlight-Automation-span_~022081435229822731005/?referrer_url_path=/nx/search/jobs/</x:v>
      </x:c>
      <x:c r="S94" s="23" t="str">
        <x:v>Контент и маркетинговая автоматизация</x:v>
      </x:c>
      <x:c r="T94" s="23" t="str">
        <x:v>search:AI agent automation:page3</x:v>
      </x:c>
    </x:row>
    <x:row r="95" ht="48" customHeight="1">
      <x:c r="A95" s="26" t="n">
        <x:v>91</x:v>
      </x:c>
      <x:c r="B95" s="23" t="str">
        <x:v>Upwork</x:v>
      </x:c>
      <x:c r="C95" s="23" t="str">
        <x:v>~022082093802059809533</x:v>
      </x:c>
      <x:c r="D95" s="23" t="str">
        <x:v>Контент и медиа</x:v>
      </x:c>
      <x:c r="E95" s="29" t="n">
        <x:v>55</x:v>
      </x:c>
      <x:c r="F95" s="23" t="str">
        <x:v>0-59% - низкое / off-core</x:v>
      </x:c>
      <x:c r="G95" s="23" t="str">
        <x:v>captured - recheck</x:v>
      </x:c>
      <x:c r="H95" s="23" t="str">
        <x:v>hourly</x:v>
      </x:c>
      <x:c r="I95" s="23" t="str">
        <x:v>Prompt Engineer</x:v>
      </x:c>
      <x:c r="J95" s="23" t="str">
        <x:v>Нужно разработать надежные многошаговые prompt-workflows для многоязычного SEO-контента со строгими ограничениями по ключевым словам, структуре, объему, фактам и форматированию. Также требуются шаблоны промптов, валидация, регрессионные тесты и контроль галлюцинаций.</x:v>
      </x:c>
      <x:c r="K95" s="23" t="str">
        <x:v>Структурированные LLM-выходы, автоматическая проверка ограничений, evaluation и regression tests хорошо совпадают с AI-инженерной частью профиля. Клиент очень надежный: подтвержденная оплата, рейтинг 5,0 и более $700K расходов.</x:v>
      </x:c>
      <x:c r="L95" s="23" t="str">
        <x:v>Основной результат связан с SEO-контентом, а не с агентами, CRM или операционными workflow Kora. Ставка не видна, загрузка 30+ часов в неделю, конкуренция 50+.</x:v>
      </x:c>
      <x:c r="M95" s="23" t="str">
        <x:v>Hourly</x:v>
      </x:c>
      <x:c r="N95" s="23" t="str">
        <x:v>verified</x:v>
      </x:c>
      <x:c r="O95" s="26" t="str">
        <x:v>50+</x:v>
      </x:c>
      <x:c r="P95" s="23" t="str">
        <x:v>4 hours ago</x:v>
      </x:c>
      <x:c r="Q95" s="23" t="str">
        <x:v>Ukraine</x:v>
      </x:c>
      <x:c r="R95" s="23" t="str">
        <x:v>https://www.upwork.com/jobs/Prompt-Engineer_~022082093802059809533/?referrer_url_path=find_work_home</x:v>
      </x:c>
      <x:c r="S95" s="23" t="str">
        <x:v>Контент и маркетинговая автоматизация</x:v>
      </x:c>
      <x:c r="T95" s="23" t="str">
        <x:v>best_matches</x:v>
      </x:c>
    </x:row>
    <x:row r="96" ht="48" customHeight="1">
      <x:c r="A96" s="26" t="n">
        <x:v>92</x:v>
      </x:c>
      <x:c r="B96" s="23" t="str">
        <x:v>Upwork</x:v>
      </x:c>
      <x:c r="C96" s="23" t="str">
        <x:v>~022081902015307135149</x:v>
      </x:c>
      <x:c r="D96" s="23" t="str">
        <x:v>AI-продукты и full-stack</x:v>
      </x:c>
      <x:c r="E96" s="29" t="n">
        <x:v>50</x:v>
      </x:c>
      <x:c r="F96" s="23" t="str">
        <x:v>0-59% - низкое / off-core</x:v>
      </x:c>
      <x:c r="G96" s="23" t="str">
        <x:v>captured - recheck</x:v>
      </x:c>
      <x:c r="H96" s="23" t="str">
        <x:v>hourly</x:v>
      </x:c>
      <x:c r="I96" s="23" t="str">
        <x:v>Looking for an AI Engineer to build a local AI assistant using Python,</x:v>
      </x:c>
      <x:c r="J96" s="23" t="str">
        <x:v>Нужно с нуля построить коммерческий локальный AI-ассистент для Windows с Ollama, RAG, долгосрочной памятью, плагинами, голосом, изображениями, кодогенерацией, мультиязычностью и multi-agent архитектурой. Требуются Python, локальные модели, векторные базы, desktop UI и оптимизация инференса.</x:v>
      </x:c>
      <x:c r="K96" s="23" t="str">
        <x:v>Архитектура ассистента, RAG, память, плагины и агентные возможности частично пересекаются с Kora. Описание подробно перечисляет желаемые компоненты и долгосрочное направление продукта.</x:v>
      </x:c>
      <x:c r="L96" s="23" t="str">
        <x:v>Scope чрезмерно широк для одного проекта: Windows desktop, локальный inference, voice, vision, арабские языки и полный коммерческий продукт. Клиент без подтвержденной оплаты и истории, ставка $15-$50; карточка, вероятно, описывает ту же потребность, что и строка 11.</x:v>
      </x:c>
      <x:c r="M96" s="23" t="str">
        <x:v>Hourly: $15-$50</x:v>
      </x:c>
      <x:c r="N96" s="23" t="str">
        <x:v>unverified</x:v>
      </x:c>
      <x:c r="O96" s="26" t="str">
        <x:v>20 to 50</x:v>
      </x:c>
      <x:c r="P96" s="23" t="str">
        <x:v>16 hours ago</x:v>
      </x:c>
      <x:c r="Q96" s="23" t="str">
        <x:v>Algeria</x:v>
      </x:c>
      <x:c r="R96" s="23" t="str">
        <x:v>https://www.upwork.com/jobs/Looking-for-Engineer-build-local-assistant-using-Python_~022081902015307135149/?referrer_url_path=find_work_home</x:v>
      </x:c>
      <x:c r="S96" s="23" t="str">
        <x:v>AI-продукты и full-stack</x:v>
      </x:c>
      <x:c r="T96" s="23" t="str">
        <x:v>best_matches</x:v>
      </x:c>
    </x:row>
    <x:row r="97" ht="48" customHeight="1">
      <x:c r="A97" s="26" t="n">
        <x:v>93</x:v>
      </x:c>
      <x:c r="B97" s="23" t="str">
        <x:v>Upwork</x:v>
      </x:c>
      <x:c r="C97" s="23" t="str">
        <x:v>~022082072467596907932</x:v>
      </x:c>
      <x:c r="D97" s="23" t="str">
        <x:v>Общие, слабые или off-core</x:v>
      </x:c>
      <x:c r="E97" s="29" t="n">
        <x:v>50</x:v>
      </x:c>
      <x:c r="F97" s="23" t="str">
        <x:v>0-59% - низкое / off-core</x:v>
      </x:c>
      <x:c r="G97" s="23" t="str">
        <x:v>captured - recheck</x:v>
      </x:c>
      <x:c r="H97" s="23" t="str">
        <x:v>hourly</x:v>
      </x:c>
      <x:c r="I97" s="23" t="str">
        <x:v>Senior Developer for AI Consulting</x:v>
      </x:c>
      <x:c r="J97" s="23" t="str">
        <x:v>AI-консалтинговая компания ищет старшего разработчика для долгосрочной работы над крупными AI-агентами, приложениями и CRM. Ожидаются самостоятельность, решение сложных задач и возможное техническое лидерство.</x:v>
      </x:c>
      <x:c r="K97" s="23" t="str">
        <x:v>AI-агенты, приложения и CRM в целом совпадают с профилем Давида и могут дать релевантные проекты. Конкуренция 20-50 предложений ниже, чем у многих соседних карточек.</x:v>
      </x:c>
      <x:c r="L97" s="23" t="str">
        <x:v>Нет конкретного проекта, стека, deliverables или критериев приемки. Клиент без подтвержденной оплаты и истории, ставка $10-$25, а занятость более шести месяцев и 30+ часов в неделю.</x:v>
      </x:c>
      <x:c r="M97" s="23" t="str">
        <x:v>Hourly: $10-$25</x:v>
      </x:c>
      <x:c r="N97" s="23" t="str">
        <x:v>unverified</x:v>
      </x:c>
      <x:c r="O97" s="26" t="str">
        <x:v>20 to 50</x:v>
      </x:c>
      <x:c r="P97" s="23" t="str">
        <x:v>5 hours ago</x:v>
      </x:c>
      <x:c r="Q97" s="23" t="str">
        <x:v>South Africa</x:v>
      </x:c>
      <x:c r="R97" s="23" t="str">
        <x:v>https://www.upwork.com/jobs/Senior-Developer-for-Consulting_~022082072467596907932/?referrer_url_path=find_work_home</x:v>
      </x:c>
      <x:c r="S97" s="23" t="str">
        <x:v>Общие, слабые или off-core задачи</x:v>
      </x:c>
      <x:c r="T97" s="23" t="str">
        <x:v>best_matches</x:v>
      </x:c>
    </x:row>
    <x:row r="98" ht="48" customHeight="1">
      <x:c r="A98" s="26" t="n">
        <x:v>94</x:v>
      </x:c>
      <x:c r="B98" s="23" t="str">
        <x:v>Upwork</x:v>
      </x:c>
      <x:c r="C98" s="23" t="str">
        <x:v>~022071435310528311405</x:v>
      </x:c>
      <x:c r="D98" s="23" t="str">
        <x:v>Голос и мультимедиа</x:v>
      </x:c>
      <x:c r="E98" s="29" t="n">
        <x:v>45</x:v>
      </x:c>
      <x:c r="F98" s="23" t="str">
        <x:v>0-59% - низкое / off-core</x:v>
      </x:c>
      <x:c r="G98" s="23" t="str">
        <x:v>captured - recheck</x:v>
      </x:c>
      <x:c r="H98" s="23" t="str">
        <x:v>не указано</x:v>
      </x:c>
      <x:c r="I98" s="23" t="str">
        <x:v>AI Automation Builder for Voice Agent</x:v>
      </x:c>
      <x:c r="J98" s="23" t="str">
        <x:v>Для сервисного бизнеса требуется создать голосового агента и воронку лидов, которые автоматизируют общение с клиентами и повышают вовлеченность. Точные каналы, интеграции и критерии результата не раскрыты.</x:v>
      </x:c>
      <x:c r="K98" s="23" t="str">
        <x:v>Voice-агент и lead pipeline потенциально хорошо сочетаются с агентной автоматизацией, CRM и повторно используемыми компонентами Kora.</x:v>
      </x:c>
      <x:c r="L98" s="23" t="str">
        <x:v>Описание слишком краткое для оценки сложности и solo feasibility, а маркетинговая часть не определена. Нужен подтвержденный voice-опыт; платежи не подтверждены, история клиента отсутствует, более 50 заявок.</x:v>
      </x:c>
      <x:c r="M98" s="23" t="str">
        <x:v>$600.00</x:v>
      </x:c>
      <x:c r="N98" s="23" t="str">
        <x:v>unverified</x:v>
      </x:c>
      <x:c r="O98" s="26" t="str">
        <x:v>50+</x:v>
      </x:c>
      <x:c r="P98" s="23" t="str">
        <x:v>4 weeks ago</x:v>
      </x:c>
      <x:c r="Q98" s="23" t="str">
        <x:v>United States</x:v>
      </x:c>
      <x:c r="R98" s="23" t="str">
        <x:v>https://www.upwork.com/jobs/span-class-highlight-span-span-class-highlight-Automation-span-Builder-for-Voice-span-class-highlight-Agent-span_~022071435310528311405/?referrer_url_path=/nx/search/jobs/</x:v>
      </x:c>
      <x:c r="S98" s="23" t="str">
        <x:v>Голосовые агенты</x:v>
      </x:c>
      <x:c r="T98" s="23" t="str">
        <x:v>search:AI agent automation:page3</x:v>
      </x:c>
    </x:row>
    <x:row r="99" ht="48" customHeight="1">
      <x:c r="A99" s="26" t="n">
        <x:v>95</x:v>
      </x:c>
      <x:c r="B99" s="23" t="str">
        <x:v>Upwork</x:v>
      </x:c>
      <x:c r="C99" s="23" t="str">
        <x:v>~022072933427172567475</x:v>
      </x:c>
      <x:c r="D99" s="23" t="str">
        <x:v>AI-агенты и оркестрация</x:v>
      </x:c>
      <x:c r="E99" s="29" t="n">
        <x:v>45</x:v>
      </x:c>
      <x:c r="F99" s="23" t="str">
        <x:v>0-59% - низкое / off-core</x:v>
      </x:c>
      <x:c r="G99" s="23" t="str">
        <x:v>captured - recheck</x:v>
      </x:c>
      <x:c r="H99" s="23" t="str">
        <x:v>hourly</x:v>
      </x:c>
      <x:c r="I99" s="23" t="str">
        <x:v>Build an AI Agent</x:v>
      </x:c>
      <x:c r="J99" s="23" t="str">
        <x:v>Клиент ищет инженера для создания нескольких AI-агентов и workflow на Make.com, OpenAI и различных API.</x:v>
      </x:c>
      <x:c r="K99" s="23" t="str">
        <x:v>Инструменты и общий тип работ совпадают с опытом в агентах, LLM и API-интеграциях.</x:v>
      </x:c>
      <x:c r="L99" s="23" t="str">
        <x:v>Описание почти не содержит scope, deliverables и бизнес-задачи, а перечисленные навыки частично не соответствуют тексту; клиент без подтвержденной оплаты и расходов.</x:v>
      </x:c>
      <x:c r="M99" s="23" t="str">
        <x:v>Hourly</x:v>
      </x:c>
      <x:c r="N99" s="23" t="str">
        <x:v>unverified</x:v>
      </x:c>
      <x:c r="O99" s="26" t="str">
        <x:v>20 to 50</x:v>
      </x:c>
      <x:c r="P99" s="23" t="str">
        <x:v>4 weeks ago</x:v>
      </x:c>
      <x:c r="Q99" s="23" t="str">
        <x:v>Philippines</x:v>
      </x:c>
      <x:c r="R99" s="23" t="str">
        <x:v>https://www.upwork.com/jobs/Build-span-class-highlight-span-span-class-highlight-Agent-span_~022072933427172567475/?referrer_url_path=/nx/search/jobs/</x:v>
      </x:c>
      <x:c r="S99" s="23" t="str">
        <x:v>AI-агенты и оркестрация</x:v>
      </x:c>
      <x:c r="T99" s="23" t="str">
        <x:v>search:AI agent automation:page8</x:v>
      </x:c>
    </x:row>
    <x:row r="100" ht="48" customHeight="1">
      <x:c r="A100" s="26" t="n">
        <x:v>96</x:v>
      </x:c>
      <x:c r="B100" s="23" t="str">
        <x:v>Upwork</x:v>
      </x:c>
      <x:c r="C100" s="23" t="str">
        <x:v>~022075998811531044499</x:v>
      </x:c>
      <x:c r="D100" s="23" t="str">
        <x:v>Автоматизация процессов и интеграции</x:v>
      </x:c>
      <x:c r="E100" s="29" t="n">
        <x:v>45</x:v>
      </x:c>
      <x:c r="F100" s="23" t="str">
        <x:v>0-59% - низкое / off-core</x:v>
      </x:c>
      <x:c r="G100" s="23" t="str">
        <x:v>captured - recheck</x:v>
      </x:c>
      <x:c r="H100" s="23" t="str">
        <x:v>hourly</x:v>
      </x:c>
      <x:c r="I100" s="23" t="str">
        <x:v>Workflow, AI Automation &amp; BI Specialist- Vibe Coding/Claude/Agents or Other System For Watch Brand</x:v>
      </x:c>
      <x:c r="J100" s="23" t="str">
        <x:v>По заголовку и навыкам бренд часов ищет специалиста по workflow, BI и AI-автоматизации с Claude или агентами. Содержательное описание задачи в собранной карточке отсутствует.</x:v>
      </x:c>
      <x:c r="K100" s="23" t="str">
        <x:v>Заявленная тематика пересекается с Claude, агентами и автоматизацией, а клиент имеет рейтинг 5.0 и более $70K расходов.</x:v>
      </x:c>
      <x:c r="L100" s="23" t="str">
        <x:v>Нельзя оценить реальный scope или deliverables из-за отсутствия описания; карточка помечена как дубль и уже имеет 50+ предложений.</x:v>
      </x:c>
      <x:c r="M100" s="23" t="str">
        <x:v>Hourly</x:v>
      </x:c>
      <x:c r="N100" s="23" t="str">
        <x:v>verified</x:v>
      </x:c>
      <x:c r="O100" s="26" t="str">
        <x:v>50+</x:v>
      </x:c>
      <x:c r="P100" s="23" t="str">
        <x:v>3 weeks ago</x:v>
      </x:c>
      <x:c r="Q100" s="23" t="str">
        <x:v>United Kingdom</x:v>
      </x:c>
      <x:c r="R100" s="23" t="str">
        <x:v>https://www.upwork.com/jobs/Workflow-span-class-highlight-span-span-class-highlight-Automation-span-amp-Specialist-Vibe-Coding-Claude-span-class-highlight-Agents-span-Other-System-For-Watch-Brand_~022075998811531044499/?referrer_url_path=/nx/search/jobs/</x:v>
      </x:c>
      <x:c r="S100" s="23" t="str">
        <x:v>Автоматизация процессов и интеграции</x:v>
      </x:c>
      <x:c r="T100" s="23" t="str">
        <x:v>search:AI agent automation:page7</x:v>
      </x:c>
    </x:row>
    <x:row r="101" ht="48" customHeight="1">
      <x:c r="A101" s="26" t="n">
        <x:v>97</x:v>
      </x:c>
      <x:c r="B101" s="23" t="str">
        <x:v>Upwork</x:v>
      </x:c>
      <x:c r="C101" s="23" t="str">
        <x:v>~022081956064391936173</x:v>
      </x:c>
      <x:c r="D101" s="23" t="str">
        <x:v>Общие, слабые или off-core</x:v>
      </x:c>
      <x:c r="E101" s="29" t="n">
        <x:v>40</x:v>
      </x:c>
      <x:c r="F101" s="23" t="str">
        <x:v>0-59% - низкое / off-core</x:v>
      </x:c>
      <x:c r="G101" s="23" t="str">
        <x:v>captured - recheck</x:v>
      </x:c>
      <x:c r="H101" s="23" t="str">
        <x:v>hourly</x:v>
      </x:c>
      <x:c r="I101" s="23" t="str">
        <x:v>Build AI agents</x:v>
      </x:c>
      <x:c r="J101" s="23" t="str">
        <x:v>Клиент хочет создавать AI-агентов для бизнес-задач, но конкретные процессы, пользователи и ожидаемый результат не описаны. В навыках указаны OpenAI API, Node.js, Python, Twilio, web scraping и автоматизация.</x:v>
      </x:c>
      <x:c r="K101" s="23" t="str">
        <x:v>Перечисленные Node.js, OpenAI API, интеграции и автоматизация совпадают с техническим профилем и потенциально могут относиться к Kora. Проект указан как короткий, менее одной недели.</x:v>
      </x:c>
      <x:c r="L101" s="23" t="str">
        <x:v>Сигнал слишком слабый для уверенной оценки: нет scope, бюджета, deliverables и критериев приемки. У клиента подтвержденная оплата, но всего $99 расходов и нулевой рейтинг; уже 20-50 предложений.</x:v>
      </x:c>
      <x:c r="M101" s="23" t="str">
        <x:v>Hourly</x:v>
      </x:c>
      <x:c r="N101" s="23" t="str">
        <x:v>verified</x:v>
      </x:c>
      <x:c r="O101" s="26" t="str">
        <x:v>20 to 50</x:v>
      </x:c>
      <x:c r="P101" s="23" t="str">
        <x:v>13 hours ago</x:v>
      </x:c>
      <x:c r="Q101" s="23" t="str">
        <x:v>USA</x:v>
      </x:c>
      <x:c r="R101" s="23" t="str">
        <x:v>https://www.upwork.com/jobs/Build-agents_~022081956064391936173/?referrer_url_path=find_work_home</x:v>
      </x:c>
      <x:c r="S101" s="23" t="str">
        <x:v>Общие, слабые или off-core задачи</x:v>
      </x:c>
      <x:c r="T101" s="23" t="str">
        <x:v>best_matches</x:v>
      </x:c>
    </x:row>
    <x:row r="102" ht="48" customHeight="1">
      <x:c r="A102" s="26" t="n">
        <x:v>98</x:v>
      </x:c>
      <x:c r="B102" s="23" t="str">
        <x:v>Upwork</x:v>
      </x:c>
      <x:c r="C102" s="23" t="str">
        <x:v>~022081808794800615026</x:v>
      </x:c>
      <x:c r="D102" s="23" t="str">
        <x:v>Общие, слабые или off-core</x:v>
      </x:c>
      <x:c r="E102" s="29" t="n">
        <x:v>40</x:v>
      </x:c>
      <x:c r="F102" s="23" t="str">
        <x:v>0-59% - низкое / off-core</x:v>
      </x:c>
      <x:c r="G102" s="23" t="str">
        <x:v>captured - recheck</x:v>
      </x:c>
      <x:c r="H102" s="23" t="str">
        <x:v>hourly</x:v>
      </x:c>
      <x:c r="I102" s="23" t="str">
        <x:v>Open API Integration</x:v>
      </x:c>
      <x:c r="J102" s="23" t="str">
        <x:v>Ищут разработчика для создания и поддержки приложений с OpenAI API, REST-интеграциями, backend-разработкой и prompt engineering. Конкретное приложение и критерии результата не описаны.</x:v>
      </x:c>
      <x:c r="K102" s="23" t="str">
        <x:v>OpenAI API, REST и backend находятся в технической зоне Давида, а короткий срок делает потенциальный проект выполнимым одним специалистом. При этом карточка не показывает конкретной бизнес-боли и почти не дает продуктового переиспользования для Kora.</x:v>
      </x:c>
      <x:c r="L102" s="23" t="str">
        <x:v>Объем и конечный результат размыты. У клиента подтверждена оплата и рейтинг 5.0, но потрачено только $15; конкуренция составляет 20-50 предложений.</x:v>
      </x:c>
      <x:c r="M102" s="23" t="str">
        <x:v>Hourly: $15-$35</x:v>
      </x:c>
      <x:c r="N102" s="23" t="str">
        <x:v>verified</x:v>
      </x:c>
      <x:c r="O102" s="26" t="str">
        <x:v>20 to 50</x:v>
      </x:c>
      <x:c r="P102" s="23" t="str">
        <x:v>yesterday</x:v>
      </x:c>
      <x:c r="Q102" s="23" t="str">
        <x:v>Pakistan</x:v>
      </x:c>
      <x:c r="R102" s="23" t="str">
        <x:v>https://www.upwork.com/jobs/Open-API-Integration_~022081808794800615026/?referrer_url_path=find_work_home</x:v>
      </x:c>
      <x:c r="S102" s="23" t="str">
        <x:v>Общие, слабые или off-core задачи</x:v>
      </x:c>
      <x:c r="T102" s="23" t="str">
        <x:v>best_matches</x:v>
      </x:c>
    </x:row>
    <x:row r="103" ht="48" customHeight="1">
      <x:c r="A103" s="26" t="n">
        <x:v>99</x:v>
      </x:c>
      <x:c r="B103" s="23" t="str">
        <x:v>Upwork</x:v>
      </x:c>
      <x:c r="C103" s="23" t="str">
        <x:v>~022081987819979528183</x:v>
      </x:c>
      <x:c r="D103" s="23" t="str">
        <x:v>Контент и медиа</x:v>
      </x:c>
      <x:c r="E103" s="29" t="n">
        <x:v>20</x:v>
      </x:c>
      <x:c r="F103" s="23" t="str">
        <x:v>0-59% - низкое / off-core</x:v>
      </x:c>
      <x:c r="G103" s="23" t="str">
        <x:v>captured - recheck</x:v>
      </x:c>
      <x:c r="H103" s="23" t="str">
        <x:v>не указано</x:v>
      </x:c>
      <x:c r="I103" s="23" t="str">
        <x:v>AI Agent Builder for Chatbot Development</x:v>
      </x:c>
      <x:c r="J103" s="23" t="str">
        <x:v>Нужно автоматически создавать субтитры на гаитянском креольском из аудиодорожки видео через speech-to-text и интегрировать решение в существующую платформу. Остальная часть описания лишь общо упоминает conversational AI и пользовательский опыт.</x:v>
      </x:c>
      <x:c r="K103" s="23" t="str">
        <x:v>API-интеграция и AI-функция технически выполнимы, но основная задача относится к распознаванию речи, локализации и генерации субтитров, а не к сильному направлению Kora. Описание также не объясняет данные, качество перевода и критерии приемки.</x:v>
      </x:c>
      <x:c r="L103" s="23" t="str">
        <x:v>Нужна компетенция в Haitian Creole speech-to-text и оценке качества языка, которая не подтверждена. Оплата клиента не подтверждена, расходов нет и имеется 20-50 предложений.</x:v>
      </x:c>
      <x:c r="M103" s="23" t="str">
        <x:v>$500</x:v>
      </x:c>
      <x:c r="N103" s="23" t="str">
        <x:v>unverified</x:v>
      </x:c>
      <x:c r="O103" s="26" t="str">
        <x:v>20 to 50</x:v>
      </x:c>
      <x:c r="P103" s="23" t="str">
        <x:v>11 hours ago</x:v>
      </x:c>
      <x:c r="Q103" s="23" t="str">
        <x:v>United States</x:v>
      </x:c>
      <x:c r="R103" s="23" t="str">
        <x:v>https://www.upwork.com/jobs/Agent-Builder-for-Chatbot-Development_~022081987819979528183/?referrer_url_path=find_work_home</x:v>
      </x:c>
      <x:c r="S103" s="23" t="str">
        <x:v>Контент и маркетинговая автоматизация</x:v>
      </x:c>
      <x:c r="T103" s="23" t="str">
        <x:v>best_matches</x:v>
      </x:c>
    </x:row>
    <x:row r="104" ht="48" customHeight="1">
      <x:c r="A104" s="27" t="n">
        <x:v>100</x:v>
      </x:c>
      <x:c r="B104" s="24" t="str">
        <x:v>Upwork</x:v>
      </x:c>
      <x:c r="C104" s="24" t="str">
        <x:v>~022079728619929483014</x:v>
      </x:c>
      <x:c r="D104" s="24" t="str">
        <x:v>Общие, слабые или off-core</x:v>
      </x:c>
      <x:c r="E104" s="30" t="n">
        <x:v>15</x:v>
      </x:c>
      <x:c r="F104" s="24" t="str">
        <x:v>0-59% - низкое / off-core</x:v>
      </x:c>
      <x:c r="G104" s="24" t="str">
        <x:v>captured - recheck</x:v>
      </x:c>
      <x:c r="H104" s="24" t="str">
        <x:v>hourly</x:v>
      </x:c>
      <x:c r="I104" s="24" t="str">
        <x:v>AI Workflow Automation Developer</x:v>
      </x:c>
      <x:c r="J104" s="24" t="str">
        <x:v>По доступному тексту видно только название роли AI Workflow Automation Developer. Вместо описания задачи карточка показывает служебную фразу Upwork, поэтому требования и ожидаемый результат неизвестны.</x:v>
      </x:c>
      <x:c r="K104" s="24" t="str">
        <x:v>Название формально совпадает с направлением AI-автоматизации, а у клиента есть подтвержденная оплата, рейтинг 4.9 и более $10000 расходов. Однако технический и продуктовый fit невозможно подтвердить без исходного описания.</x:v>
      </x:c>
      <x:c r="L104" s="24" t="str">
        <x:v>Карточка помечена как короткая и как точный дубликат, confidence низкий; отсутствуют scope, стек и deliverables. Уже 50+ откликов, поэтому тратить Connects без восстановления полного текста нерационально.</x:v>
      </x:c>
      <x:c r="M104" s="24" t="str">
        <x:v>Hourly: $20.00 - $135.00</x:v>
      </x:c>
      <x:c r="N104" s="24" t="str">
        <x:v>verified</x:v>
      </x:c>
      <x:c r="O104" s="27" t="str">
        <x:v>50+</x:v>
      </x:c>
      <x:c r="P104" s="24" t="str">
        <x:v>6 days ago</x:v>
      </x:c>
      <x:c r="Q104" s="24" t="str">
        <x:v>United States</x:v>
      </x:c>
      <x:c r="R104" s="24" t="str">
        <x:v>https://www.upwork.com/jobs/span-class-highlight-span-Workflow-span-class-highlight-Automation-span-Developer_~022079728619929483014/?referrer_url_path=/nx/search/jobs/</x:v>
      </x:c>
      <x:c r="S104" s="24" t="str">
        <x:v>Общие, слабые или off-core задачи</x:v>
      </x:c>
      <x:c r="T104" s="24" t="str">
        <x:v>search:AI agent automation:page5</x:v>
      </x:c>
    </x:row>
  </x:sheetData>
  <x:mergeCells>
    <x:mergeCell ref="A1:T2"/>
    <x:mergeCell ref="A3:T3"/>
  </x:mergeCells>
  <x:conditionalFormatting sqref="E5:E104">
    <x:cfRule type="cellIs" dxfId="4" priority="1" operator="greaterThanOrEqual">
      <x:formula>90</x:formula>
    </x:cfRule>
    <x:cfRule type="cellIs" dxfId="5" priority="2" operator="between">
      <x:formula>80</x:formula>
      <x:formula>89</x:formula>
    </x:cfRule>
    <x:cfRule type="cellIs" dxfId="6" priority="3" operator="between">
      <x:formula>70</x:formula>
      <x:formula>79</x:formula>
    </x:cfRule>
    <x:cfRule type="cellIs" dxfId="7" priority="4" operator="lessThan">
      <x:formula>70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726adab1e343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3" hidden="0" customWidth="1"/>
    <x:col min="4" max="4" width="27" hidden="0" customWidth="1"/>
    <x:col min="5" max="5" width="9" hidden="0" customWidth="1"/>
    <x:col min="6" max="6" width="25" hidden="0" customWidth="1"/>
    <x:col min="7" max="7" width="18" hidden="0" customWidth="1"/>
    <x:col min="8" max="8" width="14" hidden="0" customWidth="1"/>
    <x:col min="9" max="9" width="38" hidden="0" customWidth="1"/>
    <x:col min="10" max="10" width="58" hidden="0" customWidth="1"/>
    <x:col min="11" max="11" width="54" hidden="0" customWidth="1"/>
    <x:col min="12" max="12" width="50" hidden="0" customWidth="1"/>
    <x:col min="13" max="13" width="18" hidden="0" customWidth="1"/>
    <x:col min="14" max="14" width="22" hidden="0" customWidth="1"/>
    <x:col min="15" max="15" width="14" hidden="0" customWidth="1"/>
    <x:col min="16" max="16" width="16" hidden="0" customWidth="1"/>
    <x:col min="17" max="17" width="18" hidden="0" customWidth="1"/>
    <x:col min="18" max="18" width="54" hidden="0" customWidth="1"/>
    <x:col min="19" max="19" width="31" hidden="0" customWidth="1"/>
    <x:col min="20" max="20" width="28" hidden="0" customWidth="1"/>
  </x:cols>
  <x:sheetData>
    <x:row r="1" ht="24" customHeight="1">
      <x:c r="A1" s="4" t="str">
        <x:v>FL.ru: 58 карточек с кратким описанием и метчем</x:v>
      </x:c>
      <x:c r="B1" s="4" t="str">
        <x:v>FL.ru: 58 карточек с кратким описанием и метчем</x:v>
      </x:c>
      <x:c r="C1" s="4" t="str">
        <x:v>FL.ru: 58 карточек с кратким описанием и метчем</x:v>
      </x:c>
      <x:c r="D1" s="4" t="str">
        <x:v>FL.ru: 58 карточек с кратким описанием и метчем</x:v>
      </x:c>
      <x:c r="E1" s="4" t="str">
        <x:v>FL.ru: 58 карточек с кратким описанием и метчем</x:v>
      </x:c>
      <x:c r="F1" s="4" t="str">
        <x:v>FL.ru: 58 карточек с кратким описанием и метчем</x:v>
      </x:c>
      <x:c r="G1" s="4" t="str">
        <x:v>FL.ru: 58 карточек с кратким описанием и метчем</x:v>
      </x:c>
      <x:c r="H1" s="4" t="str">
        <x:v>FL.ru: 58 карточек с кратким описанием и метчем</x:v>
      </x:c>
      <x:c r="I1" s="4" t="str">
        <x:v>FL.ru: 58 карточек с кратким описанием и метчем</x:v>
      </x:c>
      <x:c r="J1" s="4" t="str">
        <x:v>FL.ru: 58 карточек с кратким описанием и метчем</x:v>
      </x:c>
      <x:c r="K1" s="4" t="str">
        <x:v>FL.ru: 58 карточек с кратким описанием и метчем</x:v>
      </x:c>
      <x:c r="L1" s="4" t="str">
        <x:v>FL.ru: 58 карточек с кратким описанием и метчем</x:v>
      </x:c>
      <x:c r="M1" s="4" t="str">
        <x:v>FL.ru: 58 карточек с кратким описанием и метчем</x:v>
      </x:c>
      <x:c r="N1" s="4" t="str">
        <x:v>FL.ru: 58 карточек с кратким описанием и метчем</x:v>
      </x:c>
      <x:c r="O1" s="4" t="str">
        <x:v>FL.ru: 58 карточек с кратким описанием и метчем</x:v>
      </x:c>
      <x:c r="P1" s="4" t="str">
        <x:v>FL.ru: 58 карточек с кратким описанием и метчем</x:v>
      </x:c>
      <x:c r="Q1" s="4" t="str">
        <x:v>FL.ru: 58 карточек с кратким описанием и метчем</x:v>
      </x:c>
      <x:c r="R1" s="4" t="str">
        <x:v>FL.ru: 58 карточек с кратким описанием и метчем</x:v>
      </x:c>
      <x:c r="S1" s="4" t="str">
        <x:v>FL.ru: 58 карточек с кратким описанием и метчем</x:v>
      </x:c>
      <x:c r="T1" s="4" t="str">
        <x:v>FL.ru: 58 карточек с кратким описанием и метчем</x:v>
      </x:c>
    </x:row>
    <x:row r="2" ht="24" customHeight="1">
      <x:c r="A2" s="4" t="str">
        <x:v>FL.ru: 58 карточек с кратким описанием и метчем</x:v>
      </x:c>
      <x:c r="B2" s="4" t="str">
        <x:v>FL.ru: 58 карточек с кратким описанием и метчем</x:v>
      </x:c>
      <x:c r="C2" s="4" t="str">
        <x:v>FL.ru: 58 карточек с кратким описанием и метчем</x:v>
      </x:c>
      <x:c r="D2" s="4" t="str">
        <x:v>FL.ru: 58 карточек с кратким описанием и метчем</x:v>
      </x:c>
      <x:c r="E2" s="4" t="str">
        <x:v>FL.ru: 58 карточек с кратким описанием и метчем</x:v>
      </x:c>
      <x:c r="F2" s="4" t="str">
        <x:v>FL.ru: 58 карточек с кратким описанием и метчем</x:v>
      </x:c>
      <x:c r="G2" s="4" t="str">
        <x:v>FL.ru: 58 карточек с кратким описанием и метчем</x:v>
      </x:c>
      <x:c r="H2" s="4" t="str">
        <x:v>FL.ru: 58 карточек с кратким описанием и метчем</x:v>
      </x:c>
      <x:c r="I2" s="4" t="str">
        <x:v>FL.ru: 58 карточек с кратким описанием и метчем</x:v>
      </x:c>
      <x:c r="J2" s="4" t="str">
        <x:v>FL.ru: 58 карточек с кратким описанием и метчем</x:v>
      </x:c>
      <x:c r="K2" s="4" t="str">
        <x:v>FL.ru: 58 карточек с кратким описанием и метчем</x:v>
      </x:c>
      <x:c r="L2" s="4" t="str">
        <x:v>FL.ru: 58 карточек с кратким описанием и метчем</x:v>
      </x:c>
      <x:c r="M2" s="4" t="str">
        <x:v>FL.ru: 58 карточек с кратким описанием и метчем</x:v>
      </x:c>
      <x:c r="N2" s="4" t="str">
        <x:v>FL.ru: 58 карточек с кратким описанием и метчем</x:v>
      </x:c>
      <x:c r="O2" s="4" t="str">
        <x:v>FL.ru: 58 карточек с кратким описанием и метчем</x:v>
      </x:c>
      <x:c r="P2" s="4" t="str">
        <x:v>FL.ru: 58 карточек с кратким описанием и метчем</x:v>
      </x:c>
      <x:c r="Q2" s="4" t="str">
        <x:v>FL.ru: 58 карточек с кратким описанием и метчем</x:v>
      </x:c>
      <x:c r="R2" s="4" t="str">
        <x:v>FL.ru: 58 карточек с кратким описанием и метчем</x:v>
      </x:c>
      <x:c r="S2" s="4" t="str">
        <x:v>FL.ru: 58 карточек с кратким описанием и метчем</x:v>
      </x:c>
      <x:c r="T2" s="4" t="str">
        <x:v>FL.ru: 58 карточек с кратким описанием и метчем</x:v>
      </x:c>
    </x:row>
    <x:row r="3" ht="34" customHeight="1">
      <x:c r="A3" s="9" t="str">
        <x:v>Все видимые карточки двух страниц AI-категории, включая 21 вакансию и 6 проектов со статусом «Исполнитель определён». Метч общий и редакционный; даты публикации не были сохранены.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</x:row>
    <x:row r="4" ht="36" customHeight="1">
      <x:c r="A4" s="14" t="str">
        <x:v>Ранг</x:v>
      </x:c>
      <x:c r="B4" s="14" t="str">
        <x:v>Платформа</x:v>
      </x:c>
      <x:c r="C4" s="14" t="str">
        <x:v>ID</x:v>
      </x:c>
      <x:c r="D4" s="14" t="str">
        <x:v>Категория</x:v>
      </x:c>
      <x:c r="E4" s="14" t="str">
        <x:v>Метч для Давида</x:v>
      </x:c>
      <x:c r="F4" s="14" t="str">
        <x:v>Метод / уровень</x:v>
      </x:c>
      <x:c r="G4" s="14" t="str">
        <x:v>Статус</x:v>
      </x:c>
      <x:c r="H4" s="14" t="str">
        <x:v>Тип</x:v>
      </x:c>
      <x:c r="I4" s="14" t="str">
        <x:v>Задача</x:v>
      </x:c>
      <x:c r="J4" s="14" t="str">
        <x:v>Краткое описание</x:v>
      </x:c>
      <x:c r="K4" s="14" t="str">
        <x:v>Почему подходит</x:v>
      </x:c>
      <x:c r="L4" s="14" t="str">
        <x:v>Пробелы и риски</x:v>
      </x:c>
      <x:c r="M4" s="14" t="str">
        <x:v>Бюджет / ставка</x:v>
      </x:c>
      <x:c r="N4" s="14" t="str">
        <x:v>Статус оплаты</x:v>
      </x:c>
      <x:c r="O4" s="14" t="str">
        <x:v>Конкуренция</x:v>
      </x:c>
      <x:c r="P4" s="14" t="str">
        <x:v>Опубликовано</x:v>
      </x:c>
      <x:c r="Q4" s="14" t="str">
        <x:v>Страна</x:v>
      </x:c>
      <x:c r="R4" s="14" t="str">
        <x:v>Ссылка</x:v>
      </x:c>
      <x:c r="S4" s="14" t="str">
        <x:v>Исходная категория</x:v>
      </x:c>
      <x:c r="T4" s="14" t="str">
        <x:v>Источник</x:v>
      </x:c>
    </x:row>
    <x:row r="5" ht="48" customHeight="1">
      <x:c r="A5" s="25" t="n">
        <x:v>1</x:v>
      </x:c>
      <x:c r="B5" s="22" t="str">
        <x:v>FL.ru</x:v>
      </x:c>
      <x:c r="C5" s="22" t="str">
        <x:v>5515592</x:v>
      </x:c>
      <x:c r="D5" s="22" t="str">
        <x:v>Чат-боты, поддержка и CRM</x:v>
      </x:c>
      <x:c r="E5" s="28" t="n">
        <x:v>95</x:v>
      </x:c>
      <x:c r="F5" s="22" t="str">
        <x:v>95-99% - почти идеальное</x:v>
      </x:c>
      <x:c r="G5" s="22" t="str">
        <x:v>open</x:v>
      </x:c>
      <x:c r="H5" s="22" t="str">
        <x:v>project</x:v>
      </x:c>
      <x:c r="I5" s="22" t="str">
        <x:v>Внедрение ИИ-агента для автоматизации переписок с клиентами</x:v>
      </x:c>
      <x:c r="J5" s="22" t="str">
        <x:v>Агент для переписки в мессенджерах и по email с интеграцией в коробочный Битрикс24.</x:v>
      </x:c>
      <x:c r="K5" s="22" t="str">
        <x:v>Сильный метч с Kora: существующий CRM-контур, клиентские сообщения и управляемые действия можно сузить до одного проверяемого workflow.</x:v>
      </x:c>
      <x:c r="L5" s="22" t="str">
        <x:v>26 ответов; бюджет не указан; не раскрыты privacy, доступы к CRM и human approval.</x:v>
      </x:c>
      <x:c r="M5" s="22" t="str">
        <x:v>по договоренности</x:v>
      </x:c>
      <x:c r="N5" s="22" t="str">
        <x:v>не показано</x:v>
      </x:c>
      <x:c r="O5" s="25" t="n">
        <x:v>26</x:v>
      </x:c>
      <x:c r="P5" s="22" t="str">
        <x:v>не сохранено</x:v>
      </x:c>
      <x:c r="Q5" s="22" t="str">
        <x:v>RU</x:v>
      </x:c>
      <x:c r="R5" s="22" t="str">
        <x:v>https://www.fl.ru/projects/5515592/vnedrenie-ii-agenta-dlya-avtomatizatsii-perepisok-s-klientami.html</x:v>
      </x:c>
      <x:c r="S5" s="22" t="str">
        <x:v>Бизнес-автоматизация / CRM</x:v>
      </x:c>
      <x:c r="T5" s="22" t="str">
        <x:v>FL.ru AI category</x:v>
      </x:c>
    </x:row>
    <x:row r="6" ht="48" customHeight="1">
      <x:c r="A6" s="26" t="n">
        <x:v>2</x:v>
      </x:c>
      <x:c r="B6" s="23" t="str">
        <x:v>FL.ru</x:v>
      </x:c>
      <x:c r="C6" s="23" t="str">
        <x:v>5514909</x:v>
      </x:c>
      <x:c r="D6" s="23" t="str">
        <x:v>Чат-боты, поддержка и CRM</x:v>
      </x:c>
      <x:c r="E6" s="29" t="n">
        <x:v>93</x:v>
      </x:c>
      <x:c r="F6" s="23" t="str">
        <x:v>90-94% - очень сильное</x:v>
      </x:c>
      <x:c r="G6" s="23" t="str">
        <x:v>open</x:v>
      </x:c>
      <x:c r="H6" s="23" t="str">
        <x:v>project</x:v>
      </x:c>
      <x:c r="I6" s="23" t="str">
        <x:v>Интеграция GPT и Битрикс для международной логистики</x:v>
      </x:c>
      <x:c r="J6" s="23" t="str">
        <x:v>AI-система для логистической компании на базе Bitrix24 и n8n.</x:v>
      </x:c>
      <x:c r="K6" s="23" t="str">
        <x:v>Сильный fit по Bitrix24, n8n, интеграциям и логистическому workflow, но исходный процесс нужно сузить до одного проверяемого действия.</x:v>
      </x:c>
      <x:c r="L6" s="23" t="str">
        <x:v>45 ответов; широкий scope, бюджет и acceptance criteria не определены; нужен узкий pilot.</x:v>
      </x:c>
      <x:c r="M6" s="23" t="str">
        <x:v>по договоренности</x:v>
      </x:c>
      <x:c r="N6" s="23" t="str">
        <x:v>не показано</x:v>
      </x:c>
      <x:c r="O6" s="26" t="n">
        <x:v>45</x:v>
      </x:c>
      <x:c r="P6" s="23" t="str">
        <x:v>не сохранено</x:v>
      </x:c>
      <x:c r="Q6" s="23" t="str">
        <x:v>RU</x:v>
      </x:c>
      <x:c r="R6" s="23" t="str">
        <x:v>https://www.fl.ru/projects/5514909/integratsiya-gpt-i-bitriks-dlya-mejdunarodnoy-logistiki-.html</x:v>
      </x:c>
      <x:c r="S6" s="23" t="str">
        <x:v>Бизнес-автоматизация / CRM</x:v>
      </x:c>
      <x:c r="T6" s="23" t="str">
        <x:v>FL.ru AI category</x:v>
      </x:c>
    </x:row>
    <x:row r="7" ht="48" customHeight="1">
      <x:c r="A7" s="26" t="n">
        <x:v>3</x:v>
      </x:c>
      <x:c r="B7" s="23" t="str">
        <x:v>FL.ru</x:v>
      </x:c>
      <x:c r="C7" s="23" t="str">
        <x:v>5513206</x:v>
      </x:c>
      <x:c r="D7" s="23" t="str">
        <x:v>Чат-боты, поддержка и CRM</x:v>
      </x:c>
      <x:c r="E7" s="29" t="n">
        <x:v>92</x:v>
      </x:c>
      <x:c r="F7" s="23" t="str">
        <x:v>90-94% - очень сильное</x:v>
      </x:c>
      <x:c r="G7" s="23" t="str">
        <x:v>open</x:v>
      </x:c>
      <x:c r="H7" s="23" t="str">
        <x:v>project</x:v>
      </x:c>
      <x:c r="I7" s="23" t="str">
        <x:v>AI агент</x:v>
      </x:c>
      <x:c r="J7" s="23" t="str">
        <x:v>Агент в Битрикс24 должен отслеживать открытые линии, разбирать файлы и работать с чатами.</x:v>
      </x:c>
      <x:c r="K7" s="23" t="str">
        <x:v>Сильный метч с Kora: существующий CRM-контур, клиентские сообщения и управляемые действия можно сузить до одного проверяемого workflow.</x:v>
      </x:c>
      <x:c r="L7" s="23" t="str">
        <x:v>17 ответов; доступ к чатам и файлам, персональные данные и human review требуют отдельной проверки.</x:v>
      </x:c>
      <x:c r="M7" s="23" t="str">
        <x:v>по договоренности</x:v>
      </x:c>
      <x:c r="N7" s="23" t="str">
        <x:v>не показано</x:v>
      </x:c>
      <x:c r="O7" s="26" t="n">
        <x:v>17</x:v>
      </x:c>
      <x:c r="P7" s="23" t="str">
        <x:v>не сохранено</x:v>
      </x:c>
      <x:c r="Q7" s="23" t="str">
        <x:v>RU</x:v>
      </x:c>
      <x:c r="R7" s="23" t="str">
        <x:v>https://www.fl.ru/projects/5513206/ai-agent.html</x:v>
      </x:c>
      <x:c r="S7" s="23" t="str">
        <x:v>Бизнес-автоматизация / CRM</x:v>
      </x:c>
      <x:c r="T7" s="23" t="str">
        <x:v>FL.ru AI category</x:v>
      </x:c>
    </x:row>
    <x:row r="8" ht="48" customHeight="1">
      <x:c r="A8" s="26" t="n">
        <x:v>4</x:v>
      </x:c>
      <x:c r="B8" s="23" t="str">
        <x:v>FL.ru</x:v>
      </x:c>
      <x:c r="C8" s="23" t="str">
        <x:v>5515230</x:v>
      </x:c>
      <x:c r="D8" s="23" t="str">
        <x:v>Чат-боты, поддержка и CRM</x:v>
      </x:c>
      <x:c r="E8" s="29" t="n">
        <x:v>90</x:v>
      </x:c>
      <x:c r="F8" s="23" t="str">
        <x:v>90-94% - очень сильное</x:v>
      </x:c>
      <x:c r="G8" s="23" t="str">
        <x:v>open</x:v>
      </x:c>
      <x:c r="H8" s="23" t="str">
        <x:v>project</x:v>
      </x:c>
      <x:c r="I8" s="23" t="str">
        <x:v>Подключить ИИ-ассистента для переписки и отправки фотографий в чате</x:v>
      </x:c>
      <x:c r="J8" s="23" t="str">
        <x:v>Ассистент для переписки, фото и видео с клиентами с подключением к Kommo.</x:v>
      </x:c>
      <x:c r="K8" s="23" t="str">
        <x:v>Сильный метч с Kora: существующий CRM-контур, клиентские сообщения и управляемые действия можно сузить до одного проверяемого workflow.</x:v>
      </x:c>
      <x:c r="L8" s="23" t="str">
        <x:v>24 ответа; неизвестны consent, права на media, CRM permissions и human approval.</x:v>
      </x:c>
      <x:c r="M8" s="23" t="str">
        <x:v>по договоренности</x:v>
      </x:c>
      <x:c r="N8" s="23" t="str">
        <x:v>не показано</x:v>
      </x:c>
      <x:c r="O8" s="26" t="n">
        <x:v>24</x:v>
      </x:c>
      <x:c r="P8" s="23" t="str">
        <x:v>не сохранено</x:v>
      </x:c>
      <x:c r="Q8" s="23" t="str">
        <x:v>RU</x:v>
      </x:c>
      <x:c r="R8" s="23" t="str">
        <x:v>https://www.fl.ru/projects/5515230/podklyuchit-ii-asisstenta-dlya-prepiski-i-otpravki-fotografiy-v-chate.html</x:v>
      </x:c>
      <x:c r="S8" s="23" t="str">
        <x:v>Бизнес-автоматизация / CRM</x:v>
      </x:c>
      <x:c r="T8" s="23" t="str">
        <x:v>FL.ru AI category</x:v>
      </x:c>
    </x:row>
    <x:row r="9" ht="48" customHeight="1">
      <x:c r="A9" s="26" t="n">
        <x:v>5</x:v>
      </x:c>
      <x:c r="B9" s="23" t="str">
        <x:v>FL.ru</x:v>
      </x:c>
      <x:c r="C9" s="23" t="str">
        <x:v>5514888</x:v>
      </x:c>
      <x:c r="D9" s="23" t="str">
        <x:v>AI-агенты и оркестрация</x:v>
      </x:c>
      <x:c r="E9" s="29" t="n">
        <x:v>90</x:v>
      </x:c>
      <x:c r="F9" s="23" t="str">
        <x:v>90-94% - очень сильное</x:v>
      </x:c>
      <x:c r="G9" s="23" t="str">
        <x:v>assigned</x:v>
      </x:c>
      <x:c r="H9" s="23" t="str">
        <x:v>project</x:v>
      </x:c>
      <x:c r="I9" s="23" t="str">
        <x:v>AI-агент</x:v>
      </x:c>
      <x:c r="J9" s="23" t="str">
        <x:v>Корпоративный Telegram-агент с интеграцией в сервисы Яндекса. Исполнитель уже определен.</x:v>
      </x:c>
      <x:c r="K9" s="23" t="str">
        <x:v>Сильный технический метч по агентам, интеграциям и управлению состоянием, но широкий platform scope нужно отделять от продуктового спроса на Kora.</x:v>
      </x:c>
      <x:c r="L9" s="23" t="str">
        <x:v>Исполнитель уже определен: строка только для исторического спроса</x:v>
      </x:c>
      <x:c r="M9" s="23" t="str">
        <x:v>50 000</x:v>
      </x:c>
      <x:c r="N9" s="23" t="str">
        <x:v>не показано</x:v>
      </x:c>
      <x:c r="O9" s="26" t="n">
        <x:v>0</x:v>
      </x:c>
      <x:c r="P9" s="23" t="str">
        <x:v>не сохранено</x:v>
      </x:c>
      <x:c r="Q9" s="23" t="str">
        <x:v>RU</x:v>
      </x:c>
      <x:c r="R9" s="23" t="str">
        <x:v>https://www.fl.ru/projects/5514888/ai-agent.html</x:v>
      </x:c>
      <x:c r="S9" s="23" t="str">
        <x:v>AI-агенты / платформа</x:v>
      </x:c>
      <x:c r="T9" s="23" t="str">
        <x:v>FL.ru AI category</x:v>
      </x:c>
    </x:row>
    <x:row r="10" ht="48" customHeight="1">
      <x:c r="A10" s="26" t="n">
        <x:v>6</x:v>
      </x:c>
      <x:c r="B10" s="23" t="str">
        <x:v>FL.ru</x:v>
      </x:c>
      <x:c r="C10" s="23" t="str">
        <x:v>5514469</x:v>
      </x:c>
      <x:c r="D10" s="23" t="str">
        <x:v>Документы и данные</x:v>
      </x:c>
      <x:c r="E10" s="29" t="n">
        <x:v>88</x:v>
      </x:c>
      <x:c r="F10" s="23" t="str">
        <x:v>80-89% - сильное</x:v>
      </x:c>
      <x:c r="G10" s="23" t="str">
        <x:v>open</x:v>
      </x:c>
      <x:c r="H10" s="23" t="str">
        <x:v>project</x:v>
      </x:c>
      <x:c r="I10" s="23" t="str">
        <x:v>Помощь в настройке Claude</x:v>
      </x:c>
      <x:c r="J10" s="23" t="str">
        <x:v>Автоматическое создание коммерческих предложений и расчетов по шаблонам и параметрам.</x:v>
      </x:c>
      <x:c r="K10" s="23" t="str">
        <x:v>Совпадает с сильными сторонами Давида в автоматизации, API и контролируемой обработке данных. Нужен узкий acceptance test.</x:v>
      </x:c>
      <x:c r="L10" s="23" t="str">
        <x:v>27 ответов; бюджет и критерии корректности расчетов не определены.</x:v>
      </x:c>
      <x:c r="M10" s="23" t="str">
        <x:v>по договоренности</x:v>
      </x:c>
      <x:c r="N10" s="23" t="str">
        <x:v>не показано</x:v>
      </x:c>
      <x:c r="O10" s="26" t="n">
        <x:v>27</x:v>
      </x:c>
      <x:c r="P10" s="23" t="str">
        <x:v>не сохранено</x:v>
      </x:c>
      <x:c r="Q10" s="23" t="str">
        <x:v>RU</x:v>
      </x:c>
      <x:c r="R10" s="23" t="str">
        <x:v>https://www.fl.ru/projects/5514469/pomosch-v-nastroyke-claude.html</x:v>
      </x:c>
      <x:c r="S10" s="23" t="str">
        <x:v>Документы / расчеты</x:v>
      </x:c>
      <x:c r="T10" s="23" t="str">
        <x:v>FL.ru AI category</x:v>
      </x:c>
    </x:row>
    <x:row r="11" ht="48" customHeight="1">
      <x:c r="A11" s="26" t="n">
        <x:v>7</x:v>
      </x:c>
      <x:c r="B11" s="23" t="str">
        <x:v>FL.ru</x:v>
      </x:c>
      <x:c r="C11" s="23" t="str">
        <x:v>5514270</x:v>
      </x:c>
      <x:c r="D11" s="23" t="str">
        <x:v>AI-агенты и оркестрация</x:v>
      </x:c>
      <x:c r="E11" s="29" t="n">
        <x:v>85</x:v>
      </x:c>
      <x:c r="F11" s="23" t="str">
        <x:v>80-89% - сильное</x:v>
      </x:c>
      <x:c r="G11" s="23" t="str">
        <x:v>open</x:v>
      </x:c>
      <x:c r="H11" s="23" t="str">
        <x:v>project</x:v>
      </x:c>
      <x:c r="I11" s="23" t="str">
        <x:v>Разработка мультиагентной AI-платформы</x:v>
      </x:c>
      <x:c r="J11" s="23" t="str">
        <x:v>Серверная часть AI-офиса по готовой архитектуре с несколькими агентами.</x:v>
      </x:c>
      <x:c r="K11" s="23" t="str">
        <x:v>Сильный технический метч по агентам, интеграциям и управлению состоянием, но широкий platform scope нужно отделять от продуктового спроса на Kora.</x:v>
      </x:c>
      <x:c r="L11" s="23" t="str">
        <x:v>36 ответов: высокая конкуренция</x:v>
      </x:c>
      <x:c r="M11" s="23" t="str">
        <x:v>по договоренности</x:v>
      </x:c>
      <x:c r="N11" s="23" t="str">
        <x:v>не показано</x:v>
      </x:c>
      <x:c r="O11" s="26" t="n">
        <x:v>36</x:v>
      </x:c>
      <x:c r="P11" s="23" t="str">
        <x:v>не сохранено</x:v>
      </x:c>
      <x:c r="Q11" s="23" t="str">
        <x:v>RU</x:v>
      </x:c>
      <x:c r="R11" s="23" t="str">
        <x:v>https://www.fl.ru/projects/5514270/razrabotka-multiagentnoy-ai-platformyi.html</x:v>
      </x:c>
      <x:c r="S11" s="23" t="str">
        <x:v>AI-агенты / платформа</x:v>
      </x:c>
      <x:c r="T11" s="23" t="str">
        <x:v>FL.ru AI category</x:v>
      </x:c>
    </x:row>
    <x:row r="12" ht="48" customHeight="1">
      <x:c r="A12" s="26" t="n">
        <x:v>8</x:v>
      </x:c>
      <x:c r="B12" s="23" t="str">
        <x:v>FL.ru</x:v>
      </x:c>
      <x:c r="C12" s="23" t="str">
        <x:v>5514438</x:v>
      </x:c>
      <x:c r="D12" s="23" t="str">
        <x:v>Инфраструктура и Claude</x:v>
      </x:c>
      <x:c r="E12" s="29" t="n">
        <x:v>85</x:v>
      </x:c>
      <x:c r="F12" s="23" t="str">
        <x:v>80-89% - сильное</x:v>
      </x:c>
      <x:c r="G12" s="23" t="str">
        <x:v>open</x:v>
      </x:c>
      <x:c r="H12" s="23" t="str">
        <x:v>project</x:v>
      </x:c>
      <x:c r="I12" s="23" t="str">
        <x:v>Установить Claude на VPS</x:v>
      </x:c>
      <x:c r="J12" s="23" t="str">
        <x:v>Безопасная среда Claude Code на Mac и VPS с Docker, MCP, Git и автоматизацией.</x:v>
      </x:c>
      <x:c r="K12" s="23" t="str">
        <x:v>Хороший инженерный метч по Claude, MCP, окружению и интеграциям. Это скорее денежный bridge и исследование боли, чем прямой Kora PMF.</x:v>
      </x:c>
      <x:c r="L12" s="23" t="str">
        <x:v>15 ответов</x:v>
      </x:c>
      <x:c r="M12" s="23" t="str">
        <x:v>по договоренности</x:v>
      </x:c>
      <x:c r="N12" s="23" t="str">
        <x:v>не показано</x:v>
      </x:c>
      <x:c r="O12" s="26" t="n">
        <x:v>15</x:v>
      </x:c>
      <x:c r="P12" s="23" t="str">
        <x:v>не сохранено</x:v>
      </x:c>
      <x:c r="Q12" s="23" t="str">
        <x:v>RU</x:v>
      </x:c>
      <x:c r="R12" s="23" t="str">
        <x:v>https://www.fl.ru/projects/5514438/ustonovit-claude-na-vsp.html</x:v>
      </x:c>
      <x:c r="S12" s="23" t="str">
        <x:v>Claude / инфраструктура</x:v>
      </x:c>
      <x:c r="T12" s="23" t="str">
        <x:v>FL.ru AI category</x:v>
      </x:c>
    </x:row>
    <x:row r="13" ht="48" customHeight="1">
      <x:c r="A13" s="26" t="n">
        <x:v>9</x:v>
      </x:c>
      <x:c r="B13" s="23" t="str">
        <x:v>FL.ru</x:v>
      </x:c>
      <x:c r="C13" s="23" t="str">
        <x:v>5512034</x:v>
      </x:c>
      <x:c r="D13" s="23" t="str">
        <x:v>Вакансии и роли</x:v>
      </x:c>
      <x:c r="E13" s="29" t="n">
        <x:v>82</x:v>
      </x:c>
      <x:c r="F13" s="23" t="str">
        <x:v>80-89% - сильное</x:v>
      </x:c>
      <x:c r="G13" s="23" t="str">
        <x:v>open</x:v>
      </x:c>
      <x:c r="H13" s="23" t="str">
        <x:v>vacancy</x:v>
      </x:c>
      <x:c r="I13" s="23" t="str">
        <x:v>Разработчик ИИ-сервисов и агентов</x:v>
      </x:c>
      <x:c r="J13" s="23" t="str">
        <x:v>Постоянная загрузка на Python, LLM, RAG, AI-агентах и автоматизации бизнес-процессов.</x:v>
      </x:c>
      <x:c r="K13" s="23" t="str">
        <x:v>Метч относится к навыкам Давида, но это вакансия или найм, а не доказательство покупки Kora.</x:v>
      </x:c>
      <x:c r="L13" s="23" t="str">
        <x:v>Это вакансия, а не buyer project demand для Kora. 72 ответов: высокая конкуренция</x:v>
      </x:c>
      <x:c r="M13" s="23" t="str">
        <x:v>от 200 000 ₽</x:v>
      </x:c>
      <x:c r="N13" s="23" t="str">
        <x:v>не показано</x:v>
      </x:c>
      <x:c r="O13" s="26" t="n">
        <x:v>72</x:v>
      </x:c>
      <x:c r="P13" s="23" t="str">
        <x:v>не сохранено</x:v>
      </x:c>
      <x:c r="Q13" s="23" t="str">
        <x:v>RU</x:v>
      </x:c>
      <x:c r="R13" s="23" t="str">
        <x:v>https://www.fl.ru/projects/5512034/razrabotchik-ii-servisov-i-agentov-python-llm-rag--udalnka-postoyannyie-zakazyi.html</x:v>
      </x:c>
      <x:c r="S13" s="23" t="str">
        <x:v>Вакансия / роль</x:v>
      </x:c>
      <x:c r="T13" s="23" t="str">
        <x:v>FL.ru AI category</x:v>
      </x:c>
    </x:row>
    <x:row r="14" ht="48" customHeight="1">
      <x:c r="A14" s="26" t="n">
        <x:v>10</x:v>
      </x:c>
      <x:c r="B14" s="23" t="str">
        <x:v>FL.ru</x:v>
      </x:c>
      <x:c r="C14" s="23" t="str">
        <x:v>5515278</x:v>
      </x:c>
      <x:c r="D14" s="23" t="str">
        <x:v>Вакансии и роли</x:v>
      </x:c>
      <x:c r="E14" s="29" t="n">
        <x:v>80</x:v>
      </x:c>
      <x:c r="F14" s="23" t="str">
        <x:v>80-89% - сильное</x:v>
      </x:c>
      <x:c r="G14" s="23" t="str">
        <x:v>open</x:v>
      </x:c>
      <x:c r="H14" s="23" t="str">
        <x:v>vacancy</x:v>
      </x:c>
      <x:c r="I14" s="23" t="str">
        <x:v>AI-инженер / промпт-инженер в штат</x:v>
      </x:c>
      <x:c r="J14" s="23" t="str">
        <x:v>Развитие внутренней AI-системы автоматизации и последующие клиентские проекты.</x:v>
      </x:c>
      <x:c r="K14" s="23" t="str">
        <x:v>Метч относится к навыкам Давида, но это вакансия или найм, а не доказательство покупки Kora.</x:v>
      </x:c>
      <x:c r="L14" s="23" t="str">
        <x:v>Это вакансия, а не buyer project demand для Kora. 17 ответов</x:v>
      </x:c>
      <x:c r="M14" s="23" t="str">
        <x:v>от 30 000 ₽</x:v>
      </x:c>
      <x:c r="N14" s="23" t="str">
        <x:v>не показано</x:v>
      </x:c>
      <x:c r="O14" s="26" t="n">
        <x:v>17</x:v>
      </x:c>
      <x:c r="P14" s="23" t="str">
        <x:v>не сохранено</x:v>
      </x:c>
      <x:c r="Q14" s="23" t="str">
        <x:v>RU</x:v>
      </x:c>
      <x:c r="R14" s="23" t="str">
        <x:v>https://www.fl.ru/projects/5515278/ai-injener---prompt-injener-v-shtat-udalnno.html</x:v>
      </x:c>
      <x:c r="S14" s="23" t="str">
        <x:v>Вакансия / роль</x:v>
      </x:c>
      <x:c r="T14" s="23" t="str">
        <x:v>FL.ru AI category</x:v>
      </x:c>
    </x:row>
    <x:row r="15" ht="48" customHeight="1">
      <x:c r="A15" s="26" t="n">
        <x:v>11</x:v>
      </x:c>
      <x:c r="B15" s="23" t="str">
        <x:v>FL.ru</x:v>
      </x:c>
      <x:c r="C15" s="23" t="str">
        <x:v>5515507</x:v>
      </x:c>
      <x:c r="D15" s="23" t="str">
        <x:v>Вакансии и роли</x:v>
      </x:c>
      <x:c r="E15" s="29" t="n">
        <x:v>80</x:v>
      </x:c>
      <x:c r="F15" s="23" t="str">
        <x:v>80-89% - сильное</x:v>
      </x:c>
      <x:c r="G15" s="23" t="str">
        <x:v>open</x:v>
      </x:c>
      <x:c r="H15" s="23" t="str">
        <x:v>vacancy</x:v>
      </x:c>
      <x:c r="I15" s="23" t="str">
        <x:v>Специалист по n8n и AI-промптам</x:v>
      </x:c>
      <x:c r="J15" s="23" t="str">
        <x:v>Долгосрочная работа над внутренней системой автоматизации бизнес-процессов.</x:v>
      </x:c>
      <x:c r="K15" s="23" t="str">
        <x:v>Метч относится к навыкам Давида, но это вакансия или найм, а не доказательство покупки Kora.</x:v>
      </x:c>
      <x:c r="L15" s="23" t="str">
        <x:v>Это вакансия, а не buyer project demand для Kora. 17 ответов</x:v>
      </x:c>
      <x:c r="M15" s="23" t="str">
        <x:v>до 30 000 ₽</x:v>
      </x:c>
      <x:c r="N15" s="23" t="str">
        <x:v>не показано</x:v>
      </x:c>
      <x:c r="O15" s="26" t="n">
        <x:v>17</x:v>
      </x:c>
      <x:c r="P15" s="23" t="str">
        <x:v>не сохранено</x:v>
      </x:c>
      <x:c r="Q15" s="23" t="str">
        <x:v>RU</x:v>
      </x:c>
      <x:c r="R15" s="23" t="str">
        <x:v>https://www.fl.ru/projects/5515507/ischu-spetsialista-po-n8n-i-ai-promptam-v-dolgosrochnyiy-proekt.html</x:v>
      </x:c>
      <x:c r="S15" s="23" t="str">
        <x:v>Вакансия / роль</x:v>
      </x:c>
      <x:c r="T15" s="23" t="str">
        <x:v>FL.ru AI category</x:v>
      </x:c>
    </x:row>
    <x:row r="16" ht="48" customHeight="1">
      <x:c r="A16" s="26" t="n">
        <x:v>12</x:v>
      </x:c>
      <x:c r="B16" s="23" t="str">
        <x:v>FL.ru</x:v>
      </x:c>
      <x:c r="C16" s="23" t="str">
        <x:v>5514482</x:v>
      </x:c>
      <x:c r="D16" s="23" t="str">
        <x:v>AI-продукты и full-stack</x:v>
      </x:c>
      <x:c r="E16" s="29" t="n">
        <x:v>78</x:v>
      </x:c>
      <x:c r="F16" s="23" t="str">
        <x:v>70-79% - хорошее</x:v>
      </x:c>
      <x:c r="G16" s="23" t="str">
        <x:v>open</x:v>
      </x:c>
      <x:c r="H16" s="23" t="str">
        <x:v>project</x:v>
      </x:c>
      <x:c r="I16" s="23" t="str">
        <x:v>Платформа с AI</x:v>
      </x:c>
      <x:c r="J16" s="23" t="str">
        <x:v>B2B-платформа поиска поставщиков по отдельному техническому заданию.</x:v>
      </x:c>
      <x:c r="K16" s="23" t="str">
        <x:v>Частичное или слабое совпадение. Использовать только как дополнительный сигнал, не как приоритетный лид.</x:v>
      </x:c>
      <x:c r="L16" s="23" t="str">
        <x:v>14 ответов</x:v>
      </x:c>
      <x:c r="M16" s="23" t="str">
        <x:v>100 000</x:v>
      </x:c>
      <x:c r="N16" s="23" t="str">
        <x:v>не показано</x:v>
      </x:c>
      <x:c r="O16" s="26" t="n">
        <x:v>14</x:v>
      </x:c>
      <x:c r="P16" s="23" t="str">
        <x:v>не сохранено</x:v>
      </x:c>
      <x:c r="Q16" s="23" t="str">
        <x:v>RU</x:v>
      </x:c>
      <x:c r="R16" s="23" t="str">
        <x:v>https://www.fl.ru/projects/5514482/platforma-s-ai.html</x:v>
      </x:c>
      <x:c r="S16" s="23" t="str">
        <x:v>AI-продукт / full-stack</x:v>
      </x:c>
      <x:c r="T16" s="23" t="str">
        <x:v>FL.ru AI category</x:v>
      </x:c>
    </x:row>
    <x:row r="17" ht="48" customHeight="1">
      <x:c r="A17" s="26" t="n">
        <x:v>13</x:v>
      </x:c>
      <x:c r="B17" s="23" t="str">
        <x:v>FL.ru</x:v>
      </x:c>
      <x:c r="C17" s="23" t="str">
        <x:v>5515270</x:v>
      </x:c>
      <x:c r="D17" s="23" t="str">
        <x:v>Документы и данные</x:v>
      </x:c>
      <x:c r="E17" s="29" t="n">
        <x:v>75</x:v>
      </x:c>
      <x:c r="F17" s="23" t="str">
        <x:v>70-79% - хорошее</x:v>
      </x:c>
      <x:c r="G17" s="23" t="str">
        <x:v>open</x:v>
      </x:c>
      <x:c r="H17" s="23" t="str">
        <x:v>project</x:v>
      </x:c>
      <x:c r="I17" s="23" t="str">
        <x:v>Обработка и преобразование большого объема текста</x:v>
      </x:c>
      <x:c r="J17" s="23" t="str">
        <x:v>Система должна устойчиво обрабатывать большие тексты, где текущий промпт Claude ломается.</x:v>
      </x:c>
      <x:c r="K17" s="23" t="str">
        <x:v>Совпадает с сильными сторонами Давида в автоматизации, API и контролируемой обработке данных. Нужен узкий acceptance test.</x:v>
      </x:c>
      <x:c r="L17" s="23" t="str">
        <x:v>12 ответов; 747 ₽ - критический scope-budget mismatch для надежной обработки больших текстов.</x:v>
      </x:c>
      <x:c r="M17" s="23" t="str">
        <x:v>747</x:v>
      </x:c>
      <x:c r="N17" s="23" t="str">
        <x:v>не показано</x:v>
      </x:c>
      <x:c r="O17" s="26" t="n">
        <x:v>12</x:v>
      </x:c>
      <x:c r="P17" s="23" t="str">
        <x:v>не сохранено</x:v>
      </x:c>
      <x:c r="Q17" s="23" t="str">
        <x:v>RU</x:v>
      </x:c>
      <x:c r="R17" s="23" t="str">
        <x:v>https://www.fl.ru/projects/5515270/obrabotka-i-preobrazovanie-bolshogo-obema-teksta.html</x:v>
      </x:c>
      <x:c r="S17" s="23" t="str">
        <x:v>Документы / данные</x:v>
      </x:c>
      <x:c r="T17" s="23" t="str">
        <x:v>FL.ru AI category</x:v>
      </x:c>
    </x:row>
    <x:row r="18" ht="48" customHeight="1">
      <x:c r="A18" s="26" t="n">
        <x:v>14</x:v>
      </x:c>
      <x:c r="B18" s="23" t="str">
        <x:v>FL.ru</x:v>
      </x:c>
      <x:c r="C18" s="23" t="str">
        <x:v>5508416</x:v>
      </x:c>
      <x:c r="D18" s="23" t="str">
        <x:v>AI-продукты и full-stack</x:v>
      </x:c>
      <x:c r="E18" s="29" t="n">
        <x:v>72</x:v>
      </x:c>
      <x:c r="F18" s="23" t="str">
        <x:v>70-79% - хорошее</x:v>
      </x:c>
      <x:c r="G18" s="23" t="str">
        <x:v>open</x:v>
      </x:c>
      <x:c r="H18" s="23" t="str">
        <x:v>project</x:v>
      </x:c>
      <x:c r="I18" s="23" t="str">
        <x:v>Разработка MVP Telegram-бота / AI-сервиса</x:v>
      </x:c>
      <x:c r="J18" s="23" t="str">
        <x:v>Собрать рабочий прототип AI-сервиса или Telegram-бота и предложить реализацию.</x:v>
      </x:c>
      <x:c r="K18" s="23" t="str">
        <x:v>Частичное или слабое совпадение. Использовать только как дополнительный сигнал, не как приоритетный лид.</x:v>
      </x:c>
      <x:c r="L18" s="23" t="str">
        <x:v>59 ответов: высокая конкуренция</x:v>
      </x:c>
      <x:c r="M18" s="23" t="str">
        <x:v>по договоренности</x:v>
      </x:c>
      <x:c r="N18" s="23" t="str">
        <x:v>не показано</x:v>
      </x:c>
      <x:c r="O18" s="26" t="n">
        <x:v>59</x:v>
      </x:c>
      <x:c r="P18" s="23" t="str">
        <x:v>не сохранено</x:v>
      </x:c>
      <x:c r="Q18" s="23" t="str">
        <x:v>RU</x:v>
      </x:c>
      <x:c r="R18" s="23" t="str">
        <x:v>https://www.fl.ru/projects/5508416/razrabotka-mvp-telegram-bota---ai-servisa.html</x:v>
      </x:c>
      <x:c r="S18" s="23" t="str">
        <x:v>AI-продукт / full-stack</x:v>
      </x:c>
      <x:c r="T18" s="23" t="str">
        <x:v>FL.ru AI category</x:v>
      </x:c>
    </x:row>
    <x:row r="19" ht="48" customHeight="1">
      <x:c r="A19" s="26" t="n">
        <x:v>15</x:v>
      </x:c>
      <x:c r="B19" s="23" t="str">
        <x:v>FL.ru</x:v>
      </x:c>
      <x:c r="C19" s="23" t="str">
        <x:v>5510040</x:v>
      </x:c>
      <x:c r="D19" s="23" t="str">
        <x:v>Инфраструктура и Claude</x:v>
      </x:c>
      <x:c r="E19" s="29" t="n">
        <x:v>70</x:v>
      </x:c>
      <x:c r="F19" s="23" t="str">
        <x:v>70-79% - хорошее</x:v>
      </x:c>
      <x:c r="G19" s="23" t="str">
        <x:v>assigned</x:v>
      </x:c>
      <x:c r="H19" s="23" t="str">
        <x:v>project</x:v>
      </x:c>
      <x:c r="I19" s="23" t="str">
        <x:v>Настройка подключения Claude Code</x:v>
      </x:c>
      <x:c r="J19" s="23" t="str">
        <x:v>Диагностика неудачных попыток подключения Claude Code. Исполнитель уже определен.</x:v>
      </x:c>
      <x:c r="K19" s="23" t="str">
        <x:v>Хороший инженерный метч по Claude, MCP, окружению и интеграциям. Это скорее денежный bridge и исследование боли, чем прямой Kora PMF.</x:v>
      </x:c>
      <x:c r="L19" s="23" t="str">
        <x:v>Исполнитель уже определен: строка только для исторического спроса</x:v>
      </x:c>
      <x:c r="M19" s="23" t="str">
        <x:v>по договоренности</x:v>
      </x:c>
      <x:c r="N19" s="23" t="str">
        <x:v>не показано</x:v>
      </x:c>
      <x:c r="O19" s="26" t="n">
        <x:v>0</x:v>
      </x:c>
      <x:c r="P19" s="23" t="str">
        <x:v>не сохранено</x:v>
      </x:c>
      <x:c r="Q19" s="23" t="str">
        <x:v>RU</x:v>
      </x:c>
      <x:c r="R19" s="23" t="str">
        <x:v>https://www.fl.ru/projects/5510040/nastroyka-podklyucheniya-claude-code-.html</x:v>
      </x:c>
      <x:c r="S19" s="23" t="str">
        <x:v>Claude / инфраструктура</x:v>
      </x:c>
      <x:c r="T19" s="23" t="str">
        <x:v>FL.ru AI category</x:v>
      </x:c>
    </x:row>
    <x:row r="20" ht="48" customHeight="1">
      <x:c r="A20" s="26" t="n">
        <x:v>16</x:v>
      </x:c>
      <x:c r="B20" s="23" t="str">
        <x:v>FL.ru</x:v>
      </x:c>
      <x:c r="C20" s="23" t="str">
        <x:v>5514683</x:v>
      </x:c>
      <x:c r="D20" s="23" t="str">
        <x:v>Риск / исключить</x:v>
      </x:c>
      <x:c r="E20" s="29" t="n">
        <x:v>65</x:v>
      </x:c>
      <x:c r="F20" s="23" t="str">
        <x:v>60-69% - частичное</x:v>
      </x:c>
      <x:c r="G20" s="23" t="str">
        <x:v>open</x:v>
      </x:c>
      <x:c r="H20" s="23" t="str">
        <x:v>project</x:v>
      </x:c>
      <x:c r="I20" s="23" t="str">
        <x:v>hh.ru API и ChatGPT для анализа резюме</x:v>
      </x:c>
      <x:c r="J20" s="23" t="str">
        <x:v>Поиск, рейтинг и анализ кандидатов. Низкий бюджет и высокий риск автоматизированных HR-решений.</x:v>
      </x:c>
      <x:c r="K20" s="23" t="str">
        <x:v>Даже при техническом совпадении задача не подходит для первого безопасного оффера Kora.</x:v>
      </x:c>
      <x:c r="L20" s="23" t="str">
        <x:v>Этический, правовой или platform-policy риск. 26 ответов</x:v>
      </x:c>
      <x:c r="M20" s="23" t="str">
        <x:v>500</x:v>
      </x:c>
      <x:c r="N20" s="23" t="str">
        <x:v>не показано</x:v>
      </x:c>
      <x:c r="O20" s="26" t="n">
        <x:v>26</x:v>
      </x:c>
      <x:c r="P20" s="23" t="str">
        <x:v>не сохранено</x:v>
      </x:c>
      <x:c r="Q20" s="23" t="str">
        <x:v>RU</x:v>
      </x:c>
      <x:c r="R20" s="23" t="str">
        <x:v>https://www.fl.ru/projects/5514683/integratsiya-hhru-api--chatgpt-sol-56-dlya-analiza-i-razbora-rezyume-i-otvetov-kandidatov.html</x:v>
      </x:c>
      <x:c r="S20" s="23" t="str">
        <x:v>Риск / исключить</x:v>
      </x:c>
      <x:c r="T20" s="23" t="str">
        <x:v>FL.ru AI category</x:v>
      </x:c>
    </x:row>
    <x:row r="21" ht="48" customHeight="1">
      <x:c r="A21" s="26" t="n">
        <x:v>17</x:v>
      </x:c>
      <x:c r="B21" s="23" t="str">
        <x:v>FL.ru</x:v>
      </x:c>
      <x:c r="C21" s="23" t="str">
        <x:v>5512599</x:v>
      </x:c>
      <x:c r="D21" s="23" t="str">
        <x:v>Вакансии и роли</x:v>
      </x:c>
      <x:c r="E21" s="29" t="n">
        <x:v>65</x:v>
      </x:c>
      <x:c r="F21" s="23" t="str">
        <x:v>60-69% - частичное</x:v>
      </x:c>
      <x:c r="G21" s="23" t="str">
        <x:v>open</x:v>
      </x:c>
      <x:c r="H21" s="23" t="str">
        <x:v>vacancy</x:v>
      </x:c>
      <x:c r="I21" s="23" t="str">
        <x:v>Вайб-кодер в команду</x:v>
      </x:c>
      <x:c r="J21" s="23" t="str">
        <x:v>Part-time роль для быстрого создания прототипов с AI-инструментами.</x:v>
      </x:c>
      <x:c r="K21" s="23" t="str">
        <x:v>Метч относится к навыкам Давида, но это вакансия или найм, а не доказательство покупки Kora.</x:v>
      </x:c>
      <x:c r="L21" s="23" t="str">
        <x:v>Это вакансия, а не buyer project demand для Kora. 133 ответов: высокая конкуренция</x:v>
      </x:c>
      <x:c r="M21" s="23" t="str">
        <x:v>по результатам собеседования</x:v>
      </x:c>
      <x:c r="N21" s="23" t="str">
        <x:v>не показано</x:v>
      </x:c>
      <x:c r="O21" s="26" t="n">
        <x:v>133</x:v>
      </x:c>
      <x:c r="P21" s="23" t="str">
        <x:v>не сохранено</x:v>
      </x:c>
      <x:c r="Q21" s="23" t="str">
        <x:v>RU</x:v>
      </x:c>
      <x:c r="R21" s="23" t="str">
        <x:v>https://www.fl.ru/projects/5512599/vayb-koder-v-komandu-part-time-1020-ch-ned.html</x:v>
      </x:c>
      <x:c r="S21" s="23" t="str">
        <x:v>Вакансия / роль</x:v>
      </x:c>
      <x:c r="T21" s="23" t="str">
        <x:v>FL.ru AI category</x:v>
      </x:c>
    </x:row>
    <x:row r="22" ht="48" customHeight="1">
      <x:c r="A22" s="26" t="n">
        <x:v>18</x:v>
      </x:c>
      <x:c r="B22" s="23" t="str">
        <x:v>FL.ru</x:v>
      </x:c>
      <x:c r="C22" s="23" t="str">
        <x:v>5514749</x:v>
      </x:c>
      <x:c r="D22" s="23" t="str">
        <x:v>Общие, слабые или off-core</x:v>
      </x:c>
      <x:c r="E22" s="29" t="n">
        <x:v>65</x:v>
      </x:c>
      <x:c r="F22" s="23" t="str">
        <x:v>60-69% - частичное</x:v>
      </x:c>
      <x:c r="G22" s="23" t="str">
        <x:v>open</x:v>
      </x:c>
      <x:c r="H22" s="23" t="str">
        <x:v>project</x:v>
      </x:c>
      <x:c r="I22" s="23" t="str">
        <x:v>Дизайн-система для использования Claude</x:v>
      </x:c>
      <x:c r="J22" s="23" t="str">
        <x:v>Перенести готовые макеты Figma в дизайн-систему, удобную для дальнейшей работы Claude.</x:v>
      </x:c>
      <x:c r="K22" s="23" t="str">
        <x:v>Claude является последующим потребителем дизайн-системы; задача не подтверждает спрос на агентную инфраструктуру Kora.</x:v>
      </x:c>
      <x:c r="L22" s="23" t="str">
        <x:v>5 ответов</x:v>
      </x:c>
      <x:c r="M22" s="23" t="str">
        <x:v>2 000</x:v>
      </x:c>
      <x:c r="N22" s="23" t="str">
        <x:v>не показано</x:v>
      </x:c>
      <x:c r="O22" s="26" t="n">
        <x:v>5</x:v>
      </x:c>
      <x:c r="P22" s="23" t="str">
        <x:v>не сохранено</x:v>
      </x:c>
      <x:c r="Q22" s="23" t="str">
        <x:v>RU</x:v>
      </x:c>
      <x:c r="R22" s="23" t="str">
        <x:v>https://www.fl.ru/projects/5514749/nujno-sozdat-dizayn-sistemu-po-gotovyim-maketam-dlya-ispolzovaniya-claude.html</x:v>
      </x:c>
      <x:c r="S22" s="23" t="str">
        <x:v>Claude / инфраструктура</x:v>
      </x:c>
      <x:c r="T22" s="23" t="str">
        <x:v>FL.ru AI category</x:v>
      </x:c>
    </x:row>
    <x:row r="23" ht="48" customHeight="1">
      <x:c r="A23" s="26" t="n">
        <x:v>19</x:v>
      </x:c>
      <x:c r="B23" s="23" t="str">
        <x:v>FL.ru</x:v>
      </x:c>
      <x:c r="C23" s="23" t="str">
        <x:v>5514267</x:v>
      </x:c>
      <x:c r="D23" s="23" t="str">
        <x:v>Автоматизация процессов и интеграции</x:v>
      </x:c>
      <x:c r="E23" s="29" t="n">
        <x:v>65</x:v>
      </x:c>
      <x:c r="F23" s="23" t="str">
        <x:v>60-69% - частичное</x:v>
      </x:c>
      <x:c r="G23" s="23" t="str">
        <x:v>open</x:v>
      </x:c>
      <x:c r="H23" s="23" t="str">
        <x:v>project</x:v>
      </x:c>
      <x:c r="I23" s="23" t="str">
        <x:v>Парсер для многошаговых форм</x:v>
      </x:c>
      <x:c r="J23" s="23" t="str">
        <x:v>Автоматическое заполнение форм в личном кабинете плюс спецификация, пригодная для AI-разработки.</x:v>
      </x:c>
      <x:c r="K23" s="23" t="str">
        <x:v>Совпадает с сильными сторонами Давида в автоматизации, API и контролируемой обработке данных. Нужен узкий acceptance test.</x:v>
      </x:c>
      <x:c r="L23" s="23" t="str">
        <x:v>37 ответов: высокая конкуренция</x:v>
      </x:c>
      <x:c r="M23" s="23" t="str">
        <x:v>20 000</x:v>
      </x:c>
      <x:c r="N23" s="23" t="str">
        <x:v>не показано</x:v>
      </x:c>
      <x:c r="O23" s="26" t="n">
        <x:v>37</x:v>
      </x:c>
      <x:c r="P23" s="23" t="str">
        <x:v>не сохранено</x:v>
      </x:c>
      <x:c r="Q23" s="23" t="str">
        <x:v>RU</x:v>
      </x:c>
      <x:c r="R23" s="23" t="str">
        <x:v>https://www.fl.ru/projects/5514267/napisat-parser-kotoryiy-zapolnyaet-mnogoshagovyie-formyi-v-lichnom-kabinete.html</x:v>
      </x:c>
      <x:c r="S23" s="23" t="str">
        <x:v>Автоматизация / разработка</x:v>
      </x:c>
      <x:c r="T23" s="23" t="str">
        <x:v>FL.ru AI category</x:v>
      </x:c>
    </x:row>
    <x:row r="24" ht="48" customHeight="1">
      <x:c r="A24" s="26" t="n">
        <x:v>20</x:v>
      </x:c>
      <x:c r="B24" s="23" t="str">
        <x:v>FL.ru</x:v>
      </x:c>
      <x:c r="C24" s="23" t="str">
        <x:v>5511540</x:v>
      </x:c>
      <x:c r="D24" s="23" t="str">
        <x:v>Автоматизация процессов и интеграции</x:v>
      </x:c>
      <x:c r="E24" s="29" t="n">
        <x:v>65</x:v>
      </x:c>
      <x:c r="F24" s="23" t="str">
        <x:v>60-69% - частичное</x:v>
      </x:c>
      <x:c r="G24" s="23" t="str">
        <x:v>assigned</x:v>
      </x:c>
      <x:c r="H24" s="23" t="str">
        <x:v>project</x:v>
      </x:c>
      <x:c r="I24" s="23" t="str">
        <x:v>Создание бота для мониторинга канала</x:v>
      </x:c>
      <x:c r="J24" s="23" t="str">
        <x:v>Telegram-бот переносит сообщения канала в таблицу для анализа. Исполнитель уже определен.</x:v>
      </x:c>
      <x:c r="K24" s="23" t="str">
        <x:v>Совпадает с сильными сторонами Давида в автоматизации, API и контролируемой обработке данных. Нужен узкий acceptance test.</x:v>
      </x:c>
      <x:c r="L24" s="23" t="str">
        <x:v>Исполнитель уже определен: строка только для исторического спроса</x:v>
      </x:c>
      <x:c r="M24" s="23" t="str">
        <x:v>по договоренности</x:v>
      </x:c>
      <x:c r="N24" s="23" t="str">
        <x:v>не показано</x:v>
      </x:c>
      <x:c r="O24" s="26" t="n">
        <x:v>0</x:v>
      </x:c>
      <x:c r="P24" s="23" t="str">
        <x:v>не сохранено</x:v>
      </x:c>
      <x:c r="Q24" s="23" t="str">
        <x:v>RU</x:v>
      </x:c>
      <x:c r="R24" s="23" t="str">
        <x:v>https://www.fl.ru/projects/5511540/sozdanie-bota-dlya-monitoringa-kanala-.html</x:v>
      </x:c>
      <x:c r="S24" s="23" t="str">
        <x:v>Автоматизация / разработка</x:v>
      </x:c>
      <x:c r="T24" s="23" t="str">
        <x:v>FL.ru AI category</x:v>
      </x:c>
    </x:row>
    <x:row r="25" ht="48" customHeight="1">
      <x:c r="A25" s="26" t="n">
        <x:v>21</x:v>
      </x:c>
      <x:c r="B25" s="23" t="str">
        <x:v>FL.ru</x:v>
      </x:c>
      <x:c r="C25" s="23" t="str">
        <x:v>5513878</x:v>
      </x:c>
      <x:c r="D25" s="23" t="str">
        <x:v>Вакансии и роли</x:v>
      </x:c>
      <x:c r="E25" s="29" t="n">
        <x:v>60</x:v>
      </x:c>
      <x:c r="F25" s="23" t="str">
        <x:v>60-69% - частичное</x:v>
      </x:c>
      <x:c r="G25" s="23" t="str">
        <x:v>open</x:v>
      </x:c>
      <x:c r="H25" s="23" t="str">
        <x:v>vacancy</x:v>
      </x:c>
      <x:c r="I25" s="23" t="str">
        <x:v>AI Product Builder</x:v>
      </x:c>
      <x:c r="J25" s="23" t="str">
        <x:v>Создание детских цифровых продуктов, связанных с физическими товарами бренда.</x:v>
      </x:c>
      <x:c r="K25" s="23" t="str">
        <x:v>Метч относится к навыкам Давида, но это вакансия или найм, а не доказательство покупки Kora.</x:v>
      </x:c>
      <x:c r="L25" s="23" t="str">
        <x:v>Это вакансия, а не buyer project demand для Kora. 31 ответов: высокая конкуренция</x:v>
      </x:c>
      <x:c r="M25" s="23" t="str">
        <x:v>по результатам собеседования</x:v>
      </x:c>
      <x:c r="N25" s="23" t="str">
        <x:v>не показано</x:v>
      </x:c>
      <x:c r="O25" s="26" t="n">
        <x:v>31</x:v>
      </x:c>
      <x:c r="P25" s="23" t="str">
        <x:v>не сохранено</x:v>
      </x:c>
      <x:c r="Q25" s="23" t="str">
        <x:v>RU</x:v>
      </x:c>
      <x:c r="R25" s="23" t="str">
        <x:v>https://www.fl.ru/projects/5513878/ai-product-builder---ai-razrabotchik-sozdanie-detskih-tsifrovyih-produktov.html</x:v>
      </x:c>
      <x:c r="S25" s="23" t="str">
        <x:v>Вакансия / роль</x:v>
      </x:c>
      <x:c r="T25" s="23" t="str">
        <x:v>FL.ru AI category</x:v>
      </x:c>
    </x:row>
    <x:row r="26" ht="48" customHeight="1">
      <x:c r="A26" s="26" t="n">
        <x:v>22</x:v>
      </x:c>
      <x:c r="B26" s="23" t="str">
        <x:v>FL.ru</x:v>
      </x:c>
      <x:c r="C26" s="23" t="str">
        <x:v>5514452</x:v>
      </x:c>
      <x:c r="D26" s="23" t="str">
        <x:v>Инфраструктура и Claude</x:v>
      </x:c>
      <x:c r="E26" s="29" t="n">
        <x:v>60</x:v>
      </x:c>
      <x:c r="F26" s="23" t="str">
        <x:v>60-69% - частичное</x:v>
      </x:c>
      <x:c r="G26" s="23" t="str">
        <x:v>open</x:v>
      </x:c>
      <x:c r="H26" s="23" t="str">
        <x:v>project</x:v>
      </x:c>
      <x:c r="I26" s="23" t="str">
        <x:v>Консультация по Claude</x:v>
      </x:c>
      <x:c r="J26" s="23" t="str">
        <x:v>Обучить заказчика настройке Claude для текстов, презентаций и его рабочих задач.</x:v>
      </x:c>
      <x:c r="K26" s="23" t="str">
        <x:v>Полезный Claude-onboarding и cash bridge, но слабая переносимость в Kora и отсутствие интеграционного scope.</x:v>
      </x:c>
      <x:c r="L26" s="23" t="str">
        <x:v>11 ответов</x:v>
      </x:c>
      <x:c r="M26" s="23" t="str">
        <x:v>по договоренности</x:v>
      </x:c>
      <x:c r="N26" s="23" t="str">
        <x:v>не показано</x:v>
      </x:c>
      <x:c r="O26" s="26" t="n">
        <x:v>11</x:v>
      </x:c>
      <x:c r="P26" s="23" t="str">
        <x:v>не сохранено</x:v>
      </x:c>
      <x:c r="Q26" s="23" t="str">
        <x:v>RU</x:v>
      </x:c>
      <x:c r="R26" s="23" t="str">
        <x:v>https://www.fl.ru/projects/5514452/konsultatsiya-po-claude.html</x:v>
      </x:c>
      <x:c r="S26" s="23" t="str">
        <x:v>Claude / консультация</x:v>
      </x:c>
      <x:c r="T26" s="23" t="str">
        <x:v>FL.ru AI category</x:v>
      </x:c>
    </x:row>
    <x:row r="27" ht="48" customHeight="1">
      <x:c r="A27" s="26" t="n">
        <x:v>23</x:v>
      </x:c>
      <x:c r="B27" s="23" t="str">
        <x:v>FL.ru</x:v>
      </x:c>
      <x:c r="C27" s="23" t="str">
        <x:v>5515468</x:v>
      </x:c>
      <x:c r="D27" s="23" t="str">
        <x:v>AI-продукты и full-stack</x:v>
      </x:c>
      <x:c r="E27" s="29" t="n">
        <x:v>60</x:v>
      </x:c>
      <x:c r="F27" s="23" t="str">
        <x:v>60-69% - частичное</x:v>
      </x:c>
      <x:c r="G27" s="23" t="str">
        <x:v>open</x:v>
      </x:c>
      <x:c r="H27" s="23" t="str">
        <x:v>project</x:v>
      </x:c>
      <x:c r="I27" s="23" t="str">
        <x:v>Приложение управления ветеринарным бизнесом</x:v>
      </x:c>
      <x:c r="J27" s="23" t="str">
        <x:v>Облачное AI-приложение для мобильного ветеринарного сервиса в Москве и Санкт-Петербурге.</x:v>
      </x:c>
      <x:c r="K27" s="23" t="str">
        <x:v>Частичное или слабое совпадение. Использовать только как дополнительный сигнал, не как приоритетный лид.</x:v>
      </x:c>
      <x:c r="L27" s="23" t="str">
        <x:v>40 ответов: высокая конкуренция</x:v>
      </x:c>
      <x:c r="M27" s="23" t="str">
        <x:v>по договоренности</x:v>
      </x:c>
      <x:c r="N27" s="23" t="str">
        <x:v>не показано</x:v>
      </x:c>
      <x:c r="O27" s="26" t="n">
        <x:v>40</x:v>
      </x:c>
      <x:c r="P27" s="23" t="str">
        <x:v>не сохранено</x:v>
      </x:c>
      <x:c r="Q27" s="23" t="str">
        <x:v>RU</x:v>
      </x:c>
      <x:c r="R27" s="23" t="str">
        <x:v>https://www.fl.ru/projects/5515468/razrabotchik-dlya-mnogomodulnogo-prilojeniya-upravleniya-veterinarnyim-biznesom.html</x:v>
      </x:c>
      <x:c r="S27" s="23" t="str">
        <x:v>AI-продукт / full-stack</x:v>
      </x:c>
      <x:c r="T27" s="23" t="str">
        <x:v>FL.ru AI category</x:v>
      </x:c>
    </x:row>
    <x:row r="28" ht="48" customHeight="1">
      <x:c r="A28" s="26" t="n">
        <x:v>24</x:v>
      </x:c>
      <x:c r="B28" s="23" t="str">
        <x:v>FL.ru</x:v>
      </x:c>
      <x:c r="C28" s="23" t="str">
        <x:v>5513097</x:v>
      </x:c>
      <x:c r="D28" s="23" t="str">
        <x:v>Вакансии и роли</x:v>
      </x:c>
      <x:c r="E28" s="29" t="n">
        <x:v>55</x:v>
      </x:c>
      <x:c r="F28" s="23" t="str">
        <x:v>0-59% - низкое / off-core</x:v>
      </x:c>
      <x:c r="G28" s="23" t="str">
        <x:v>open</x:v>
      </x:c>
      <x:c r="H28" s="23" t="str">
        <x:v>vacancy</x:v>
      </x:c>
      <x:c r="I28" s="23" t="str">
        <x:v>Support-менеджер / промпт-инженер</x:v>
      </x:c>
      <x:c r="J28" s="23" t="str">
        <x:v>Работа с цифровыми сотрудниками для монетизации трафика в мессенджерах.</x:v>
      </x:c>
      <x:c r="K28" s="23" t="str">
        <x:v>Метч относится к навыкам Давида, но это вакансия или найм, а не доказательство покупки Kora.</x:v>
      </x:c>
      <x:c r="L28" s="23" t="str">
        <x:v>Это вакансия, а не buyer project demand для Kora. 32 ответов: высокая конкуренция</x:v>
      </x:c>
      <x:c r="M28" s="23" t="str">
        <x:v>60 000 ₽ - 75 000 ₽</x:v>
      </x:c>
      <x:c r="N28" s="23" t="str">
        <x:v>не показано</x:v>
      </x:c>
      <x:c r="O28" s="26" t="n">
        <x:v>32</x:v>
      </x:c>
      <x:c r="P28" s="23" t="str">
        <x:v>не сохранено</x:v>
      </x:c>
      <x:c r="Q28" s="23" t="str">
        <x:v>RU</x:v>
      </x:c>
      <x:c r="R28" s="23" t="str">
        <x:v>https://www.fl.ru/projects/5513097/support-menedjer-promt-injener.html</x:v>
      </x:c>
      <x:c r="S28" s="23" t="str">
        <x:v>Вакансия / роль</x:v>
      </x:c>
      <x:c r="T28" s="23" t="str">
        <x:v>FL.ru AI category</x:v>
      </x:c>
    </x:row>
    <x:row r="29" ht="48" customHeight="1">
      <x:c r="A29" s="26" t="n">
        <x:v>25</x:v>
      </x:c>
      <x:c r="B29" s="23" t="str">
        <x:v>FL.ru</x:v>
      </x:c>
      <x:c r="C29" s="23" t="str">
        <x:v>5514724</x:v>
      </x:c>
      <x:c r="D29" s="23" t="str">
        <x:v>Данные и computer vision</x:v>
      </x:c>
      <x:c r="E29" s="29" t="n">
        <x:v>55</x:v>
      </x:c>
      <x:c r="F29" s="23" t="str">
        <x:v>0-59% - низкое / off-core</x:v>
      </x:c>
      <x:c r="G29" s="23" t="str">
        <x:v>open</x:v>
      </x:c>
      <x:c r="H29" s="23" t="str">
        <x:v>project</x:v>
      </x:c>
      <x:c r="I29" s="23" t="str">
        <x:v>Сервис обработки видео футбольных матчей</x:v>
      </x:c>
      <x:c r="J29" s="23" t="str">
        <x:v>Видеообработка матчей и получение статистики по игрокам.</x:v>
      </x:c>
      <x:c r="K29" s="23" t="str">
        <x:v>Частичное или слабое совпадение. Использовать только как дополнительный сигнал, не как приоритетный лид.</x:v>
      </x:c>
      <x:c r="L29" s="23" t="str">
        <x:v>8 ответов</x:v>
      </x:c>
      <x:c r="M29" s="23" t="str">
        <x:v>по договоренности</x:v>
      </x:c>
      <x:c r="N29" s="23" t="str">
        <x:v>не показано</x:v>
      </x:c>
      <x:c r="O29" s="26" t="n">
        <x:v>8</x:v>
      </x:c>
      <x:c r="P29" s="23" t="str">
        <x:v>не сохранено</x:v>
      </x:c>
      <x:c r="Q29" s="23" t="str">
        <x:v>RU</x:v>
      </x:c>
      <x:c r="R29" s="23" t="str">
        <x:v>https://www.fl.ru/projects/5514724/nujen-horoshiy-prompter-dlya-sozdaniya-servisa-obrabotki-videozapisey-futbolnyih-matchey-.html</x:v>
      </x:c>
      <x:c r="S29" s="23" t="str">
        <x:v>Компьютерное зрение / данные</x:v>
      </x:c>
      <x:c r="T29" s="23" t="str">
        <x:v>FL.ru AI category</x:v>
      </x:c>
    </x:row>
    <x:row r="30" ht="48" customHeight="1">
      <x:c r="A30" s="26" t="n">
        <x:v>26</x:v>
      </x:c>
      <x:c r="B30" s="23" t="str">
        <x:v>FL.ru</x:v>
      </x:c>
      <x:c r="C30" s="23" t="str">
        <x:v>5512730</x:v>
      </x:c>
      <x:c r="D30" s="23" t="str">
        <x:v>Вакансии и роли</x:v>
      </x:c>
      <x:c r="E30" s="29" t="n">
        <x:v>55</x:v>
      </x:c>
      <x:c r="F30" s="23" t="str">
        <x:v>0-59% - низкое / off-core</x:v>
      </x:c>
      <x:c r="G30" s="23" t="str">
        <x:v>open</x:v>
      </x:c>
      <x:c r="H30" s="23" t="str">
        <x:v>vacancy</x:v>
      </x:c>
      <x:c r="I30" s="23" t="str">
        <x:v>Технический сооснователь в B2B-стартап</x:v>
      </x:c>
      <x:c r="J30" s="23" t="str">
        <x:v>CTO для продукта, который пытается заменить часть работы B2B-продавцов генеративным AI.</x:v>
      </x:c>
      <x:c r="K30" s="23" t="str">
        <x:v>Метч относится к навыкам Давида, но это вакансия или найм, а не доказательство покупки Kora.</x:v>
      </x:c>
      <x:c r="L30" s="23" t="str">
        <x:v>Это вакансия, а не buyer project demand для Kora. 17 ответов</x:v>
      </x:c>
      <x:c r="M30" s="23" t="str">
        <x:v>по результатам собеседования</x:v>
      </x:c>
      <x:c r="N30" s="23" t="str">
        <x:v>не показано</x:v>
      </x:c>
      <x:c r="O30" s="26" t="n">
        <x:v>17</x:v>
      </x:c>
      <x:c r="P30" s="23" t="str">
        <x:v>не сохранено</x:v>
      </x:c>
      <x:c r="Q30" s="23" t="str">
        <x:v>RU</x:v>
      </x:c>
      <x:c r="R30" s="23" t="str">
        <x:v>https://www.fl.ru/projects/5512730/ischu-tehnicheskogo-soosnovatelya-cto-v-b2b-startap.html</x:v>
      </x:c>
      <x:c r="S30" s="23" t="str">
        <x:v>Вакансия / роль</x:v>
      </x:c>
      <x:c r="T30" s="23" t="str">
        <x:v>FL.ru AI category</x:v>
      </x:c>
    </x:row>
    <x:row r="31" ht="48" customHeight="1">
      <x:c r="A31" s="26" t="n">
        <x:v>27</x:v>
      </x:c>
      <x:c r="B31" s="23" t="str">
        <x:v>FL.ru</x:v>
      </x:c>
      <x:c r="C31" s="23" t="str">
        <x:v>5514780</x:v>
      </x:c>
      <x:c r="D31" s="23" t="str">
        <x:v>AI-продукты и full-stack</x:v>
      </x:c>
      <x:c r="E31" s="29" t="n">
        <x:v>50</x:v>
      </x:c>
      <x:c r="F31" s="23" t="str">
        <x:v>0-59% - низкое / off-core</x:v>
      </x:c>
      <x:c r="G31" s="23" t="str">
        <x:v>open</x:v>
      </x:c>
      <x:c r="H31" s="23" t="str">
        <x:v>project</x:v>
      </x:c>
      <x:c r="I31" s="23" t="str">
        <x:v>Локальная Qwen-система в Unreal Engine 5</x:v>
      </x:c>
      <x:c r="J31" s="23" t="str">
        <x:v>Интерактивный локальный 3D-аватар на Qwen и Unreal Engine для мощной рабочей станции.</x:v>
      </x:c>
      <x:c r="K31" s="23" t="str">
        <x:v>Частичное или слабое совпадение. Использовать только как дополнительный сигнал, не как приоритетный лид.</x:v>
      </x:c>
      <x:c r="L31" s="23" t="str">
        <x:v>5 ответов</x:v>
      </x:c>
      <x:c r="M31" s="23" t="str">
        <x:v>по договоренности</x:v>
      </x:c>
      <x:c r="N31" s="23" t="str">
        <x:v>не показано</x:v>
      </x:c>
      <x:c r="O31" s="26" t="n">
        <x:v>5</x:v>
      </x:c>
      <x:c r="P31" s="23" t="str">
        <x:v>не сохранено</x:v>
      </x:c>
      <x:c r="Q31" s="23" t="str">
        <x:v>RU</x:v>
      </x:c>
      <x:c r="R31" s="23" t="str">
        <x:v>https://www.fl.ru/projects/5514780/lokalnaya-ii-sistemaqwen35b-pod-klyuch-v-unreal-engine-5.html</x:v>
      </x:c>
      <x:c r="S31" s="23" t="str">
        <x:v>AI-продукт / full-stack</x:v>
      </x:c>
      <x:c r="T31" s="23" t="str">
        <x:v>FL.ru AI category</x:v>
      </x:c>
    </x:row>
    <x:row r="32" ht="48" customHeight="1">
      <x:c r="A32" s="26" t="n">
        <x:v>28</x:v>
      </x:c>
      <x:c r="B32" s="23" t="str">
        <x:v>FL.ru</x:v>
      </x:c>
      <x:c r="C32" s="23" t="str">
        <x:v>5515220</x:v>
      </x:c>
      <x:c r="D32" s="23" t="str">
        <x:v>Автоматизация процессов и интеграции</x:v>
      </x:c>
      <x:c r="E32" s="29" t="n">
        <x:v>50</x:v>
      </x:c>
      <x:c r="F32" s="23" t="str">
        <x:v>0-59% - низкое / off-core</x:v>
      </x:c>
      <x:c r="G32" s="23" t="str">
        <x:v>open</x:v>
      </x:c>
      <x:c r="H32" s="23" t="str">
        <x:v>project</x:v>
      </x:c>
      <x:c r="I32" s="23" t="str">
        <x:v>Тегирование файлов в macOS</x:v>
      </x:c>
      <x:c r="J32" s="23" t="str">
        <x:v>Автоматически присвоить Finder-теги 3500 музыкальным трекам на внешнем диске.</x:v>
      </x:c>
      <x:c r="K32" s="23" t="str">
        <x:v>Совпадает с сильными сторонами Давида в автоматизации, API и контролируемой обработке данных. Нужен узкий acceptance test.</x:v>
      </x:c>
      <x:c r="L32" s="23" t="str">
        <x:v>8 ответов</x:v>
      </x:c>
      <x:c r="M32" s="23" t="str">
        <x:v>по договоренности</x:v>
      </x:c>
      <x:c r="N32" s="23" t="str">
        <x:v>не показано</x:v>
      </x:c>
      <x:c r="O32" s="26" t="n">
        <x:v>8</x:v>
      </x:c>
      <x:c r="P32" s="23" t="str">
        <x:v>не сохранено</x:v>
      </x:c>
      <x:c r="Q32" s="23" t="str">
        <x:v>RU</x:v>
      </x:c>
      <x:c r="R32" s="23" t="str">
        <x:v>https://www.fl.ru/projects/5515220/neobhodim-kod-dlya-tegirovaniya-faylov-v-sisteme-mak-os.html</x:v>
      </x:c>
      <x:c r="S32" s="23" t="str">
        <x:v>Автоматизация / разработка</x:v>
      </x:c>
      <x:c r="T32" s="23" t="str">
        <x:v>FL.ru AI category</x:v>
      </x:c>
    </x:row>
    <x:row r="33" ht="48" customHeight="1">
      <x:c r="A33" s="26" t="n">
        <x:v>29</x:v>
      </x:c>
      <x:c r="B33" s="23" t="str">
        <x:v>FL.ru</x:v>
      </x:c>
      <x:c r="C33" s="23" t="str">
        <x:v>5507597</x:v>
      </x:c>
      <x:c r="D33" s="23" t="str">
        <x:v>Человеческие операции</x:v>
      </x:c>
      <x:c r="E33" s="29" t="n">
        <x:v>45</x:v>
      </x:c>
      <x:c r="F33" s="23" t="str">
        <x:v>0-59% - низкое / off-core</x:v>
      </x:c>
      <x:c r="G33" s="23" t="str">
        <x:v>open</x:v>
      </x:c>
      <x:c r="H33" s="23" t="str">
        <x:v>project</x:v>
      </x:c>
      <x:c r="I33" s="23" t="str">
        <x:v>Анализ чата по вайб-кодингу</x:v>
      </x:c>
      <x:c r="J33" s="23" t="str">
        <x:v>Человеку нужно анализировать чаты и координировать процесс. Это не покупка AI-системы.</x:v>
      </x:c>
      <x:c r="K33" s="23" t="str">
        <x:v>Частичное или слабое совпадение. Использовать только как дополнительный сигнал, не как приоритетный лид.</x:v>
      </x:c>
      <x:c r="L33" s="23" t="str">
        <x:v>10 ответов</x:v>
      </x:c>
      <x:c r="M33" s="23" t="str">
        <x:v>по договоренности</x:v>
      </x:c>
      <x:c r="N33" s="23" t="str">
        <x:v>не показано</x:v>
      </x:c>
      <x:c r="O33" s="26" t="n">
        <x:v>10</x:v>
      </x:c>
      <x:c r="P33" s="23" t="str">
        <x:v>не сохранено</x:v>
      </x:c>
      <x:c r="Q33" s="23" t="str">
        <x:v>RU</x:v>
      </x:c>
      <x:c r="R33" s="23" t="str">
        <x:v>https://www.fl.ru/projects/5507597/analiz-chata-po-vayb-kodingu-.html</x:v>
      </x:c>
      <x:c r="S33" s="23" t="str">
        <x:v>Человеческие операции</x:v>
      </x:c>
      <x:c r="T33" s="23" t="str">
        <x:v>FL.ru AI category</x:v>
      </x:c>
    </x:row>
    <x:row r="34" ht="48" customHeight="1">
      <x:c r="A34" s="26" t="n">
        <x:v>30</x:v>
      </x:c>
      <x:c r="B34" s="23" t="str">
        <x:v>FL.ru</x:v>
      </x:c>
      <x:c r="C34" s="23" t="str">
        <x:v>5509060</x:v>
      </x:c>
      <x:c r="D34" s="23" t="str">
        <x:v>Контент и медиа</x:v>
      </x:c>
      <x:c r="E34" s="29" t="n">
        <x:v>45</x:v>
      </x:c>
      <x:c r="F34" s="23" t="str">
        <x:v>0-59% - низкое / off-core</x:v>
      </x:c>
      <x:c r="G34" s="23" t="str">
        <x:v>assigned</x:v>
      </x:c>
      <x:c r="H34" s="23" t="str">
        <x:v>project</x:v>
      </x:c>
      <x:c r="I34" s="23" t="str">
        <x:v>Автоматизация генерации фотографий</x:v>
      </x:c>
      <x:c r="J34" s="23" t="str">
        <x:v>Регулярная генерация фотографий товаров. Исполнитель уже определен.</x:v>
      </x:c>
      <x:c r="K34" s="23" t="str">
        <x:v>AI здесь обычно является способом производства контента. Технический метч не превращает такую задачу в спрос на Kora.</x:v>
      </x:c>
      <x:c r="L34" s="23" t="str">
        <x:v>Исполнитель уже определен: строка только для исторического спроса</x:v>
      </x:c>
      <x:c r="M34" s="23" t="str">
        <x:v>11 000</x:v>
      </x:c>
      <x:c r="N34" s="23" t="str">
        <x:v>не показано</x:v>
      </x:c>
      <x:c r="O34" s="26" t="n">
        <x:v>0</x:v>
      </x:c>
      <x:c r="P34" s="23" t="str">
        <x:v>не сохранено</x:v>
      </x:c>
      <x:c r="Q34" s="23" t="str">
        <x:v>RU</x:v>
      </x:c>
      <x:c r="R34" s="23" t="str">
        <x:v>https://www.fl.ru/projects/5509060/avtomatizatsiya-generatsii-fotografiy-.html</x:v>
      </x:c>
      <x:c r="S34" s="23" t="str">
        <x:v>Контент / media</x:v>
      </x:c>
      <x:c r="T34" s="23" t="str">
        <x:v>FL.ru AI category</x:v>
      </x:c>
    </x:row>
    <x:row r="35" ht="48" customHeight="1">
      <x:c r="A35" s="26" t="n">
        <x:v>31</x:v>
      </x:c>
      <x:c r="B35" s="23" t="str">
        <x:v>FL.ru</x:v>
      </x:c>
      <x:c r="C35" s="23" t="str">
        <x:v>5514008</x:v>
      </x:c>
      <x:c r="D35" s="23" t="str">
        <x:v>Вакансии и роли</x:v>
      </x:c>
      <x:c r="E35" s="29" t="n">
        <x:v>40</x:v>
      </x:c>
      <x:c r="F35" s="23" t="str">
        <x:v>0-59% - низкое / off-core</x:v>
      </x:c>
      <x:c r="G35" s="23" t="str">
        <x:v>open</x:v>
      </x:c>
      <x:c r="H35" s="23" t="str">
        <x:v>vacancy</x:v>
      </x:c>
      <x:c r="I35" s="23" t="str">
        <x:v>Дизайнер для Food AI</x:v>
      </x:c>
      <x:c r="J35" s="23" t="str">
        <x:v>Обработка food-фото и создание изображений для долгосрочных проектов.</x:v>
      </x:c>
      <x:c r="K35" s="23" t="str">
        <x:v>Метч относится к навыкам Давида, но это вакансия или найм, а не доказательство покупки Kora.</x:v>
      </x:c>
      <x:c r="L35" s="23" t="str">
        <x:v>Это вакансия, а не buyer project demand для Kora. 37 ответов: высокая конкуренция</x:v>
      </x:c>
      <x:c r="M35" s="23" t="str">
        <x:v>по результатам собеседования</x:v>
      </x:c>
      <x:c r="N35" s="23" t="str">
        <x:v>не показано</x:v>
      </x:c>
      <x:c r="O35" s="26" t="n">
        <x:v>37</x:v>
      </x:c>
      <x:c r="P35" s="23" t="str">
        <x:v>не сохранено</x:v>
      </x:c>
      <x:c r="Q35" s="23" t="str">
        <x:v>RU</x:v>
      </x:c>
      <x:c r="R35" s="23" t="str">
        <x:v>https://www.fl.ru/projects/5514008/ischu-dizaynera-dlya-dolgosrochnogo-proektnogo-sotrudnichestva-food-ai-ai-v-foodtech.html</x:v>
      </x:c>
      <x:c r="S35" s="23" t="str">
        <x:v>Вакансия / роль</x:v>
      </x:c>
      <x:c r="T35" s="23" t="str">
        <x:v>FL.ru AI category</x:v>
      </x:c>
    </x:row>
    <x:row r="36" ht="48" customHeight="1">
      <x:c r="A36" s="26" t="n">
        <x:v>32</x:v>
      </x:c>
      <x:c r="B36" s="23" t="str">
        <x:v>FL.ru</x:v>
      </x:c>
      <x:c r="C36" s="23" t="str">
        <x:v>5515254</x:v>
      </x:c>
      <x:c r="D36" s="23" t="str">
        <x:v>Вакансии и роли</x:v>
      </x:c>
      <x:c r="E36" s="29" t="n">
        <x:v>40</x:v>
      </x:c>
      <x:c r="F36" s="23" t="str">
        <x:v>0-59% - низкое / off-core</x:v>
      </x:c>
      <x:c r="G36" s="23" t="str">
        <x:v>open</x:v>
      </x:c>
      <x:c r="H36" s="23" t="str">
        <x:v>vacancy</x:v>
      </x:c>
      <x:c r="I36" s="23" t="str">
        <x:v>ИИ-креатор</x:v>
      </x:c>
      <x:c r="J36" s="23" t="str">
        <x:v>Изображения и короткие видео через Midjourney, Stable Diffusion, Runway и другие инструменты.</x:v>
      </x:c>
      <x:c r="K36" s="23" t="str">
        <x:v>Метч относится к навыкам Давида, но это вакансия или найм, а не доказательство покупки Kora.</x:v>
      </x:c>
      <x:c r="L36" s="23" t="str">
        <x:v>Это вакансия, а не buyer project demand для Kora. 144 ответов: высокая конкуренция</x:v>
      </x:c>
      <x:c r="M36" s="23" t="str">
        <x:v>70 000 ₽ - 160 000 ₽</x:v>
      </x:c>
      <x:c r="N36" s="23" t="str">
        <x:v>не показано</x:v>
      </x:c>
      <x:c r="O36" s="26" t="n">
        <x:v>144</x:v>
      </x:c>
      <x:c r="P36" s="23" t="str">
        <x:v>не сохранено</x:v>
      </x:c>
      <x:c r="Q36" s="23" t="str">
        <x:v>RU</x:v>
      </x:c>
      <x:c r="R36" s="23" t="str">
        <x:v>https://www.fl.ru/projects/5515254/ii-kreator---ai-kreator-.html</x:v>
      </x:c>
      <x:c r="S36" s="23" t="str">
        <x:v>Вакансия / роль</x:v>
      </x:c>
      <x:c r="T36" s="23" t="str">
        <x:v>FL.ru AI category</x:v>
      </x:c>
    </x:row>
    <x:row r="37" ht="48" customHeight="1">
      <x:c r="A37" s="26" t="n">
        <x:v>33</x:v>
      </x:c>
      <x:c r="B37" s="23" t="str">
        <x:v>FL.ru</x:v>
      </x:c>
      <x:c r="C37" s="23" t="str">
        <x:v>5515226</x:v>
      </x:c>
      <x:c r="D37" s="23" t="str">
        <x:v>Контент и медиа</x:v>
      </x:c>
      <x:c r="E37" s="29" t="n">
        <x:v>35</x:v>
      </x:c>
      <x:c r="F37" s="23" t="str">
        <x:v>0-59% - низкое / off-core</x:v>
      </x:c>
      <x:c r="G37" s="23" t="str">
        <x:v>open</x:v>
      </x:c>
      <x:c r="H37" s="23" t="str">
        <x:v>project</x:v>
      </x:c>
      <x:c r="I37" s="23" t="str">
        <x:v>AI-аватар на немецком языке</x:v>
      </x:c>
      <x:c r="J37" s="23" t="str">
        <x:v>Долгосрочное создание информационных роликов через HeyGen, Synthesia или аналоги.</x:v>
      </x:c>
      <x:c r="K37" s="23" t="str">
        <x:v>AI здесь обычно является способом производства контента. Технический метч не превращает такую задачу в спрос на Kora.</x:v>
      </x:c>
      <x:c r="L37" s="23" t="str">
        <x:v>22 ответов</x:v>
      </x:c>
      <x:c r="M37" s="23" t="str">
        <x:v>по договоренности</x:v>
      </x:c>
      <x:c r="N37" s="23" t="str">
        <x:v>не показано</x:v>
      </x:c>
      <x:c r="O37" s="26" t="n">
        <x:v>22</x:v>
      </x:c>
      <x:c r="P37" s="23" t="str">
        <x:v>не сохранено</x:v>
      </x:c>
      <x:c r="Q37" s="23" t="str">
        <x:v>RU</x:v>
      </x:c>
      <x:c r="R37" s="23" t="str">
        <x:v>https://www.fl.ru/projects/5515226/trebuetsya-spetsialist-po-heygen-ili-analogam-dlya-sozdaniya-rolikov-s-ai-avatarom-na-nemetskom-yazyike.html</x:v>
      </x:c>
      <x:c r="S37" s="23" t="str">
        <x:v>Контент / media</x:v>
      </x:c>
      <x:c r="T37" s="23" t="str">
        <x:v>FL.ru AI category</x:v>
      </x:c>
    </x:row>
    <x:row r="38" ht="48" customHeight="1">
      <x:c r="A38" s="26" t="n">
        <x:v>34</x:v>
      </x:c>
      <x:c r="B38" s="23" t="str">
        <x:v>FL.ru</x:v>
      </x:c>
      <x:c r="C38" s="23" t="str">
        <x:v>5510785</x:v>
      </x:c>
      <x:c r="D38" s="23" t="str">
        <x:v>Вакансии и роли</x:v>
      </x:c>
      <x:c r="E38" s="29" t="n">
        <x:v>35</x:v>
      </x:c>
      <x:c r="F38" s="23" t="str">
        <x:v>0-59% - низкое / off-core</x:v>
      </x:c>
      <x:c r="G38" s="23" t="str">
        <x:v>open</x:v>
      </x:c>
      <x:c r="H38" s="23" t="str">
        <x:v>vacancy</x:v>
      </x:c>
      <x:c r="I38" s="23" t="str">
        <x:v>Генерация трех видео в день</x:v>
      </x:c>
      <x:c r="J38" s="23" t="str">
        <x:v>Регулярные видео о приготовлении блюд на кухне заказчика с синтетической озвучкой.</x:v>
      </x:c>
      <x:c r="K38" s="23" t="str">
        <x:v>Метч относится к навыкам Давида, но это вакансия или найм, а не доказательство покупки Kora.</x:v>
      </x:c>
      <x:c r="L38" s="23" t="str">
        <x:v>Это вакансия, а не buyer project demand для Kora. 38 ответов: высокая конкуренция</x:v>
      </x:c>
      <x:c r="M38" s="23" t="str">
        <x:v>до 50 000 ₽</x:v>
      </x:c>
      <x:c r="N38" s="23" t="str">
        <x:v>не показано</x:v>
      </x:c>
      <x:c r="O38" s="26" t="n">
        <x:v>38</x:v>
      </x:c>
      <x:c r="P38" s="23" t="str">
        <x:v>не сохранено</x:v>
      </x:c>
      <x:c r="Q38" s="23" t="str">
        <x:v>RU</x:v>
      </x:c>
      <x:c r="R38" s="23" t="str">
        <x:v>https://www.fl.ru/projects/5510785/generatsiya-3h-video-v-den.html</x:v>
      </x:c>
      <x:c r="S38" s="23" t="str">
        <x:v>Вакансия / роль</x:v>
      </x:c>
      <x:c r="T38" s="23" t="str">
        <x:v>FL.ru AI category</x:v>
      </x:c>
    </x:row>
    <x:row r="39" ht="48" customHeight="1">
      <x:c r="A39" s="26" t="n">
        <x:v>35</x:v>
      </x:c>
      <x:c r="B39" s="23" t="str">
        <x:v>FL.ru</x:v>
      </x:c>
      <x:c r="C39" s="23" t="str">
        <x:v>5515509</x:v>
      </x:c>
      <x:c r="D39" s="23" t="str">
        <x:v>Контент и медиа</x:v>
      </x:c>
      <x:c r="E39" s="29" t="n">
        <x:v>35</x:v>
      </x:c>
      <x:c r="F39" s="23" t="str">
        <x:v>0-59% - низкое / off-core</x:v>
      </x:c>
      <x:c r="G39" s="23" t="str">
        <x:v>open</x:v>
      </x:c>
      <x:c r="H39" s="23" t="str">
        <x:v>project</x:v>
      </x:c>
      <x:c r="I39" s="23" t="str">
        <x:v>Контент для анонса кофейни</x:v>
      </x:c>
      <x:c r="J39" s="23" t="str">
        <x:v>Сгенерировать фото и видео для соцсетей по готовым текстовым идеям и материалам.</x:v>
      </x:c>
      <x:c r="K39" s="23" t="str">
        <x:v>AI здесь обычно является способом производства контента. Технический метч не превращает такую задачу в спрос на Kora.</x:v>
      </x:c>
      <x:c r="L39" s="23" t="str">
        <x:v>2 ответов</x:v>
      </x:c>
      <x:c r="M39" s="23" t="str">
        <x:v>по договоренности</x:v>
      </x:c>
      <x:c r="N39" s="23" t="str">
        <x:v>не показано</x:v>
      </x:c>
      <x:c r="O39" s="26" t="n">
        <x:v>2</x:v>
      </x:c>
      <x:c r="P39" s="23" t="str">
        <x:v>не сохранено</x:v>
      </x:c>
      <x:c r="Q39" s="23" t="str">
        <x:v>RU</x:v>
      </x:c>
      <x:c r="R39" s="23" t="str">
        <x:v>https://www.fl.ru/projects/5515509/napilit-kontenta-dlya-sotssetey-po-anonsu-kofeyni-k-dnyu-stroitelya.html</x:v>
      </x:c>
      <x:c r="S39" s="23" t="str">
        <x:v>Контент / media</x:v>
      </x:c>
      <x:c r="T39" s="23" t="str">
        <x:v>FL.ru AI category</x:v>
      </x:c>
    </x:row>
    <x:row r="40" ht="48" customHeight="1">
      <x:c r="A40" s="26" t="n">
        <x:v>36</x:v>
      </x:c>
      <x:c r="B40" s="23" t="str">
        <x:v>FL.ru</x:v>
      </x:c>
      <x:c r="C40" s="23" t="str">
        <x:v>5515201</x:v>
      </x:c>
      <x:c r="D40" s="23" t="str">
        <x:v>Контент и медиа</x:v>
      </x:c>
      <x:c r="E40" s="29" t="n">
        <x:v>35</x:v>
      </x:c>
      <x:c r="F40" s="23" t="str">
        <x:v>0-59% - низкое / off-core</x:v>
      </x:c>
      <x:c r="G40" s="23" t="str">
        <x:v>open</x:v>
      </x:c>
      <x:c r="H40" s="23" t="str">
        <x:v>project</x:v>
      </x:c>
      <x:c r="I40" s="23" t="str">
        <x:v>Сгенерировать картинки дверей-купе</x:v>
      </x:c>
      <x:c r="J40" s="23" t="str">
        <x:v>Создать 500 изображений дверей-купе по предоставленным референсам.</x:v>
      </x:c>
      <x:c r="K40" s="23" t="str">
        <x:v>AI здесь обычно является способом производства контента. Технический метч не превращает такую задачу в спрос на Kora.</x:v>
      </x:c>
      <x:c r="L40" s="23" t="str">
        <x:v>14 ответов</x:v>
      </x:c>
      <x:c r="M40" s="23" t="str">
        <x:v>по договоренности</x:v>
      </x:c>
      <x:c r="N40" s="23" t="str">
        <x:v>не показано</x:v>
      </x:c>
      <x:c r="O40" s="26" t="n">
        <x:v>14</x:v>
      </x:c>
      <x:c r="P40" s="23" t="str">
        <x:v>не сохранено</x:v>
      </x:c>
      <x:c r="Q40" s="23" t="str">
        <x:v>RU</x:v>
      </x:c>
      <x:c r="R40" s="23" t="str">
        <x:v>https://www.fl.ru/projects/5515201/sgenerirovat-kartinki-dverey-kupe.html</x:v>
      </x:c>
      <x:c r="S40" s="23" t="str">
        <x:v>Контент / media</x:v>
      </x:c>
      <x:c r="T40" s="23" t="str">
        <x:v>FL.ru AI category</x:v>
      </x:c>
    </x:row>
    <x:row r="41" ht="48" customHeight="1">
      <x:c r="A41" s="26" t="n">
        <x:v>37</x:v>
      </x:c>
      <x:c r="B41" s="23" t="str">
        <x:v>FL.ru</x:v>
      </x:c>
      <x:c r="C41" s="23" t="str">
        <x:v>5514894</x:v>
      </x:c>
      <x:c r="D41" s="23" t="str">
        <x:v>Контент и медиа</x:v>
      </x:c>
      <x:c r="E41" s="29" t="n">
        <x:v>30</x:v>
      </x:c>
      <x:c r="F41" s="23" t="str">
        <x:v>0-59% - низкое / off-core</x:v>
      </x:c>
      <x:c r="G41" s="23" t="str">
        <x:v>open</x:v>
      </x:c>
      <x:c r="H41" s="23" t="str">
        <x:v>project</x:v>
      </x:c>
      <x:c r="I41" s="23" t="str">
        <x:v>AI-видео</x:v>
      </x:c>
      <x:c r="J41" s="23" t="str">
        <x:v>Кинематографический рекламный ролик с движением, людьми и машинами.</x:v>
      </x:c>
      <x:c r="K41" s="23" t="str">
        <x:v>AI здесь обычно является способом производства контента. Технический метч не превращает такую задачу в спрос на Kora.</x:v>
      </x:c>
      <x:c r="L41" s="23" t="str">
        <x:v>12 ответов</x:v>
      </x:c>
      <x:c r="M41" s="23" t="str">
        <x:v>по договоренности</x:v>
      </x:c>
      <x:c r="N41" s="23" t="str">
        <x:v>не показано</x:v>
      </x:c>
      <x:c r="O41" s="26" t="n">
        <x:v>12</x:v>
      </x:c>
      <x:c r="P41" s="23" t="str">
        <x:v>не сохранено</x:v>
      </x:c>
      <x:c r="Q41" s="23" t="str">
        <x:v>RU</x:v>
      </x:c>
      <x:c r="R41" s="23" t="str">
        <x:v>https://www.fl.ru/projects/5514894/ai-video.html</x:v>
      </x:c>
      <x:c r="S41" s="23" t="str">
        <x:v>Контент / media</x:v>
      </x:c>
      <x:c r="T41" s="23" t="str">
        <x:v>FL.ru AI category</x:v>
      </x:c>
    </x:row>
    <x:row r="42" ht="48" customHeight="1">
      <x:c r="A42" s="26" t="n">
        <x:v>38</x:v>
      </x:c>
      <x:c r="B42" s="23" t="str">
        <x:v>FL.ru</x:v>
      </x:c>
      <x:c r="C42" s="23" t="str">
        <x:v>5513442</x:v>
      </x:c>
      <x:c r="D42" s="23" t="str">
        <x:v>Вакансии и роли</x:v>
      </x:c>
      <x:c r="E42" s="29" t="n">
        <x:v>30</x:v>
      </x:c>
      <x:c r="F42" s="23" t="str">
        <x:v>0-59% - низкое / off-core</x:v>
      </x:c>
      <x:c r="G42" s="23" t="str">
        <x:v>open</x:v>
      </x:c>
      <x:c r="H42" s="23" t="str">
        <x:v>vacancy</x:v>
      </x:c>
      <x:c r="I42" s="23" t="str">
        <x:v>AI-креатор коротких роликов</x:v>
      </x:c>
      <x:c r="J42" s="23" t="str">
        <x:v>Постоянное создание вертикальных роликов с виртуальными персонажами.</x:v>
      </x:c>
      <x:c r="K42" s="23" t="str">
        <x:v>Метч относится к навыкам Давида, но это вакансия или найм, а не доказательство покупки Kora.</x:v>
      </x:c>
      <x:c r="L42" s="23" t="str">
        <x:v>Это вакансия, а не buyer project demand для Kora. 28 ответов</x:v>
      </x:c>
      <x:c r="M42" s="23" t="str">
        <x:v>по результатам собеседования</x:v>
      </x:c>
      <x:c r="N42" s="23" t="str">
        <x:v>не показано</x:v>
      </x:c>
      <x:c r="O42" s="26" t="n">
        <x:v>28</x:v>
      </x:c>
      <x:c r="P42" s="23" t="str">
        <x:v>не сохранено</x:v>
      </x:c>
      <x:c r="Q42" s="23" t="str">
        <x:v>RU</x:v>
      </x:c>
      <x:c r="R42" s="23" t="str">
        <x:v>https://www.fl.ru/projects/5513442/nujen-ai-kreator-korotkih-rolikov-dlya-sotssetey-.html</x:v>
      </x:c>
      <x:c r="S42" s="23" t="str">
        <x:v>Вакансия / роль</x:v>
      </x:c>
      <x:c r="T42" s="23" t="str">
        <x:v>FL.ru AI category</x:v>
      </x:c>
    </x:row>
    <x:row r="43" ht="48" customHeight="1">
      <x:c r="A43" s="26" t="n">
        <x:v>39</x:v>
      </x:c>
      <x:c r="B43" s="23" t="str">
        <x:v>FL.ru</x:v>
      </x:c>
      <x:c r="C43" s="23" t="str">
        <x:v>5514564</x:v>
      </x:c>
      <x:c r="D43" s="23" t="str">
        <x:v>Контент и медиа</x:v>
      </x:c>
      <x:c r="E43" s="29" t="n">
        <x:v>30</x:v>
      </x:c>
      <x:c r="F43" s="23" t="str">
        <x:v>0-59% - низкое / off-core</x:v>
      </x:c>
      <x:c r="G43" s="23" t="str">
        <x:v>open</x:v>
      </x:c>
      <x:c r="H43" s="23" t="str">
        <x:v>project</x:v>
      </x:c>
      <x:c r="I43" s="23" t="str">
        <x:v>Делать картинки с ИИ</x:v>
      </x:c>
      <x:c r="J43" s="23" t="str">
        <x:v>Создать 360 однотипных изображений одежды на манекенах.</x:v>
      </x:c>
      <x:c r="K43" s="23" t="str">
        <x:v>AI здесь обычно является способом производства контента. Технический метч не превращает такую задачу в спрос на Kora.</x:v>
      </x:c>
      <x:c r="L43" s="23" t="str">
        <x:v>24 ответов</x:v>
      </x:c>
      <x:c r="M43" s="23" t="str">
        <x:v>по договоренности</x:v>
      </x:c>
      <x:c r="N43" s="23" t="str">
        <x:v>не показано</x:v>
      </x:c>
      <x:c r="O43" s="26" t="n">
        <x:v>24</x:v>
      </x:c>
      <x:c r="P43" s="23" t="str">
        <x:v>не сохранено</x:v>
      </x:c>
      <x:c r="Q43" s="23" t="str">
        <x:v>RU</x:v>
      </x:c>
      <x:c r="R43" s="23" t="str">
        <x:v>https://www.fl.ru/projects/5514564/delat-kartinki-s-ii.html</x:v>
      </x:c>
      <x:c r="S43" s="23" t="str">
        <x:v>Контент / media</x:v>
      </x:c>
      <x:c r="T43" s="23" t="str">
        <x:v>FL.ru AI category</x:v>
      </x:c>
    </x:row>
    <x:row r="44" ht="48" customHeight="1">
      <x:c r="A44" s="26" t="n">
        <x:v>40</x:v>
      </x:c>
      <x:c r="B44" s="23" t="str">
        <x:v>FL.ru</x:v>
      </x:c>
      <x:c r="C44" s="23" t="str">
        <x:v>5515145</x:v>
      </x:c>
      <x:c r="D44" s="23" t="str">
        <x:v>Контент и медиа</x:v>
      </x:c>
      <x:c r="E44" s="29" t="n">
        <x:v>30</x:v>
      </x:c>
      <x:c r="F44" s="23" t="str">
        <x:v>0-59% - низкое / off-core</x:v>
      </x:c>
      <x:c r="G44" s="23" t="str">
        <x:v>open</x:v>
      </x:c>
      <x:c r="H44" s="23" t="str">
        <x:v>project</x:v>
      </x:c>
      <x:c r="I44" s="23" t="str">
        <x:v>Карточка товара Wildberries с помощью ИИ</x:v>
      </x:c>
      <x:c r="J44" s="23" t="str">
        <x:v>Три статичных изображения одежды по референсам.</x:v>
      </x:c>
      <x:c r="K44" s="23" t="str">
        <x:v>AI здесь обычно является способом производства контента. Технический метч не превращает такую задачу в спрос на Kora.</x:v>
      </x:c>
      <x:c r="L44" s="23" t="str">
        <x:v>18 ответов</x:v>
      </x:c>
      <x:c r="M44" s="23" t="str">
        <x:v>по договоренности</x:v>
      </x:c>
      <x:c r="N44" s="23" t="str">
        <x:v>не показано</x:v>
      </x:c>
      <x:c r="O44" s="26" t="n">
        <x:v>18</x:v>
      </x:c>
      <x:c r="P44" s="23" t="str">
        <x:v>не сохранено</x:v>
      </x:c>
      <x:c r="Q44" s="23" t="str">
        <x:v>RU</x:v>
      </x:c>
      <x:c r="R44" s="23" t="str">
        <x:v>https://www.fl.ru/projects/5515145/sozdanie-kartochki-tovara-vb-s-pomoschyu-ii.html</x:v>
      </x:c>
      <x:c r="S44" s="23" t="str">
        <x:v>Контент / media</x:v>
      </x:c>
      <x:c r="T44" s="23" t="str">
        <x:v>FL.ru AI category</x:v>
      </x:c>
    </x:row>
    <x:row r="45" ht="48" customHeight="1">
      <x:c r="A45" s="26" t="n">
        <x:v>41</x:v>
      </x:c>
      <x:c r="B45" s="23" t="str">
        <x:v>FL.ru</x:v>
      </x:c>
      <x:c r="C45" s="23" t="str">
        <x:v>5515292</x:v>
      </x:c>
      <x:c r="D45" s="23" t="str">
        <x:v>Контент и медиа</x:v>
      </x:c>
      <x:c r="E45" s="29" t="n">
        <x:v>30</x:v>
      </x:c>
      <x:c r="F45" s="23" t="str">
        <x:v>0-59% - низкое / off-core</x:v>
      </x:c>
      <x:c r="G45" s="23" t="str">
        <x:v>open</x:v>
      </x:c>
      <x:c r="H45" s="23" t="str">
        <x:v>project</x:v>
      </x:c>
      <x:c r="I45" s="23" t="str">
        <x:v>Раскадровка AI-ролика для ювелирного бренда</x:v>
      </x:c>
      <x:c r="J45" s="23" t="str">
        <x:v>Концепция hero-видео и раскадровка для отбора идеи.</x:v>
      </x:c>
      <x:c r="K45" s="23" t="str">
        <x:v>AI здесь обычно является способом производства контента. Технический метч не превращает такую задачу в спрос на Kora.</x:v>
      </x:c>
      <x:c r="L45" s="23" t="str">
        <x:v>5 ответов</x:v>
      </x:c>
      <x:c r="M45" s="23" t="str">
        <x:v>2 500</x:v>
      </x:c>
      <x:c r="N45" s="23" t="str">
        <x:v>не показано</x:v>
      </x:c>
      <x:c r="O45" s="26" t="n">
        <x:v>5</x:v>
      </x:c>
      <x:c r="P45" s="23" t="str">
        <x:v>не сохранено</x:v>
      </x:c>
      <x:c r="Q45" s="23" t="str">
        <x:v>RU</x:v>
      </x:c>
      <x:c r="R45" s="23" t="str">
        <x:v>https://www.fl.ru/projects/5515292/kreativnaya-raskadrovka-ai-rolika-dlya-luxury-yuvelirnogo-brenda.html</x:v>
      </x:c>
      <x:c r="S45" s="23" t="str">
        <x:v>Контент / media</x:v>
      </x:c>
      <x:c r="T45" s="23" t="str">
        <x:v>FL.ru AI category</x:v>
      </x:c>
    </x:row>
    <x:row r="46" ht="48" customHeight="1">
      <x:c r="A46" s="26" t="n">
        <x:v>42</x:v>
      </x:c>
      <x:c r="B46" s="23" t="str">
        <x:v>FL.ru</x:v>
      </x:c>
      <x:c r="C46" s="23" t="str">
        <x:v>5514642</x:v>
      </x:c>
      <x:c r="D46" s="23" t="str">
        <x:v>Контент и медиа</x:v>
      </x:c>
      <x:c r="E46" s="29" t="n">
        <x:v>30</x:v>
      </x:c>
      <x:c r="F46" s="23" t="str">
        <x:v>0-59% - низкое / off-core</x:v>
      </x:c>
      <x:c r="G46" s="23" t="str">
        <x:v>open</x:v>
      </x:c>
      <x:c r="H46" s="23" t="str">
        <x:v>project</x:v>
      </x:c>
      <x:c r="I46" s="23" t="str">
        <x:v>Создание AI-видео с фото</x:v>
      </x:c>
      <x:c r="J46" s="23" t="str">
        <x:v>Короткий ролик из фотографий через Runway, Kling AI или аналог.</x:v>
      </x:c>
      <x:c r="K46" s="23" t="str">
        <x:v>AI здесь обычно является способом производства контента. Технический метч не превращает такую задачу в спрос на Kora.</x:v>
      </x:c>
      <x:c r="L46" s="23" t="str">
        <x:v>64 ответов: высокая конкуренция</x:v>
      </x:c>
      <x:c r="M46" s="23" t="str">
        <x:v>по договоренности</x:v>
      </x:c>
      <x:c r="N46" s="23" t="str">
        <x:v>не показано</x:v>
      </x:c>
      <x:c r="O46" s="26" t="n">
        <x:v>64</x:v>
      </x:c>
      <x:c r="P46" s="23" t="str">
        <x:v>не сохранено</x:v>
      </x:c>
      <x:c r="Q46" s="23" t="str">
        <x:v>RU</x:v>
      </x:c>
      <x:c r="R46" s="23" t="str">
        <x:v>https://www.fl.ru/projects/5514642/sozdanie-ai-video-s-foto.html</x:v>
      </x:c>
      <x:c r="S46" s="23" t="str">
        <x:v>Контент / media</x:v>
      </x:c>
      <x:c r="T46" s="23" t="str">
        <x:v>FL.ru AI category</x:v>
      </x:c>
    </x:row>
    <x:row r="47" ht="48" customHeight="1">
      <x:c r="A47" s="26" t="n">
        <x:v>43</x:v>
      </x:c>
      <x:c r="B47" s="23" t="str">
        <x:v>FL.ru</x:v>
      </x:c>
      <x:c r="C47" s="23" t="str">
        <x:v>5514366</x:v>
      </x:c>
      <x:c r="D47" s="23" t="str">
        <x:v>Вакансии и роли</x:v>
      </x:c>
      <x:c r="E47" s="29" t="n">
        <x:v>30</x:v>
      </x:c>
      <x:c r="F47" s="23" t="str">
        <x:v>0-59% - низкое / off-core</x:v>
      </x:c>
      <x:c r="G47" s="23" t="str">
        <x:v>open</x:v>
      </x:c>
      <x:c r="H47" s="23" t="str">
        <x:v>vacancy</x:v>
      </x:c>
      <x:c r="I47" s="23" t="str">
        <x:v>Создание песен в ИИ и монтаж клипов</x:v>
      </x:c>
      <x:c r="J47" s="23" t="str">
        <x:v>Тексты песен, генерация в Suno и монтаж на готовое видео.</x:v>
      </x:c>
      <x:c r="K47" s="23" t="str">
        <x:v>Метч относится к навыкам Давида, но это вакансия или найм, а не доказательство покупки Kora.</x:v>
      </x:c>
      <x:c r="L47" s="23" t="str">
        <x:v>Это вакансия, а не buyer project demand для Kora. 42 ответов: высокая конкуренция</x:v>
      </x:c>
      <x:c r="M47" s="23" t="str">
        <x:v>1 100 ₽</x:v>
      </x:c>
      <x:c r="N47" s="23" t="str">
        <x:v>не показано</x:v>
      </x:c>
      <x:c r="O47" s="26" t="n">
        <x:v>42</x:v>
      </x:c>
      <x:c r="P47" s="23" t="str">
        <x:v>не сохранено</x:v>
      </x:c>
      <x:c r="Q47" s="23" t="str">
        <x:v>RU</x:v>
      </x:c>
      <x:c r="R47" s="23" t="str">
        <x:v>https://www.fl.ru/projects/5514366/sozdanie-pesen-v-ii-i-montaj-klipov.html</x:v>
      </x:c>
      <x:c r="S47" s="23" t="str">
        <x:v>Вакансия / роль</x:v>
      </x:c>
      <x:c r="T47" s="23" t="str">
        <x:v>FL.ru AI category</x:v>
      </x:c>
    </x:row>
    <x:row r="48" ht="48" customHeight="1">
      <x:c r="A48" s="26" t="n">
        <x:v>44</x:v>
      </x:c>
      <x:c r="B48" s="23" t="str">
        <x:v>FL.ru</x:v>
      </x:c>
      <x:c r="C48" s="23" t="str">
        <x:v>5514820</x:v>
      </x:c>
      <x:c r="D48" s="23" t="str">
        <x:v>Контент и медиа</x:v>
      </x:c>
      <x:c r="E48" s="29" t="n">
        <x:v>30</x:v>
      </x:c>
      <x:c r="F48" s="23" t="str">
        <x:v>0-59% - низкое / off-core</x:v>
      </x:c>
      <x:c r="G48" s="23" t="str">
        <x:v>open</x:v>
      </x:c>
      <x:c r="H48" s="23" t="str">
        <x:v>project</x:v>
      </x:c>
      <x:c r="I48" s="23" t="str">
        <x:v>Создать видеоролик с помощью ИИ</x:v>
      </x:c>
      <x:c r="J48" s="23" t="str">
        <x:v>Реалистичный ролик по готовому сценарию с озвучкой, титрами и музыкой.</x:v>
      </x:c>
      <x:c r="K48" s="23" t="str">
        <x:v>AI здесь обычно является способом производства контента. Технический метч не превращает такую задачу в спрос на Kora.</x:v>
      </x:c>
      <x:c r="L48" s="23" t="str">
        <x:v>18 ответов</x:v>
      </x:c>
      <x:c r="M48" s="23" t="str">
        <x:v>по договоренности</x:v>
      </x:c>
      <x:c r="N48" s="23" t="str">
        <x:v>не показано</x:v>
      </x:c>
      <x:c r="O48" s="26" t="n">
        <x:v>18</x:v>
      </x:c>
      <x:c r="P48" s="23" t="str">
        <x:v>не сохранено</x:v>
      </x:c>
      <x:c r="Q48" s="23" t="str">
        <x:v>RU</x:v>
      </x:c>
      <x:c r="R48" s="23" t="str">
        <x:v>https://www.fl.ru/projects/5514820/sozdat-videorolik-s-pomoschyu-ii.html</x:v>
      </x:c>
      <x:c r="S48" s="23" t="str">
        <x:v>Контент / media</x:v>
      </x:c>
      <x:c r="T48" s="23" t="str">
        <x:v>FL.ru AI category</x:v>
      </x:c>
    </x:row>
    <x:row r="49" ht="48" customHeight="1">
      <x:c r="A49" s="26" t="n">
        <x:v>45</x:v>
      </x:c>
      <x:c r="B49" s="23" t="str">
        <x:v>FL.ru</x:v>
      </x:c>
      <x:c r="C49" s="23" t="str">
        <x:v>5510020</x:v>
      </x:c>
      <x:c r="D49" s="23" t="str">
        <x:v>Вакансии и роли</x:v>
      </x:c>
      <x:c r="E49" s="29" t="n">
        <x:v>25</x:v>
      </x:c>
      <x:c r="F49" s="23" t="str">
        <x:v>0-59% - низкое / off-core</x:v>
      </x:c>
      <x:c r="G49" s="23" t="str">
        <x:v>open</x:v>
      </x:c>
      <x:c r="H49" s="23" t="str">
        <x:v>vacancy</x:v>
      </x:c>
      <x:c r="I49" s="23" t="str">
        <x:v>Вирусные AI-видео для TikTok и Reels</x:v>
      </x:c>
      <x:c r="J49" s="23" t="str">
        <x:v>Регулярное производство коротких видео под ключ с крайне низким заявленным бюджетом.</x:v>
      </x:c>
      <x:c r="K49" s="23" t="str">
        <x:v>Метч относится к навыкам Давида, но это вакансия или найм, а не доказательство покупки Kora.</x:v>
      </x:c>
      <x:c r="L49" s="23" t="str">
        <x:v>Это вакансия, а не buyer project demand для Kora. 15 ответов</x:v>
      </x:c>
      <x:c r="M49" s="23" t="str">
        <x:v>до 100 ₽</x:v>
      </x:c>
      <x:c r="N49" s="23" t="str">
        <x:v>не показано</x:v>
      </x:c>
      <x:c r="O49" s="26" t="n">
        <x:v>15</x:v>
      </x:c>
      <x:c r="P49" s="23" t="str">
        <x:v>не сохранено</x:v>
      </x:c>
      <x:c r="Q49" s="23" t="str">
        <x:v>RU</x:v>
      </x:c>
      <x:c r="R49" s="23" t="str">
        <x:v>https://www.fl.ru/projects/5510020/sozdanie-virusnyih-ai-video-dlya-tiktok---reels-pod-klyuch.html</x:v>
      </x:c>
      <x:c r="S49" s="23" t="str">
        <x:v>Вакансия / роль</x:v>
      </x:c>
      <x:c r="T49" s="23" t="str">
        <x:v>FL.ru AI category</x:v>
      </x:c>
    </x:row>
    <x:row r="50" ht="48" customHeight="1">
      <x:c r="A50" s="26" t="n">
        <x:v>46</x:v>
      </x:c>
      <x:c r="B50" s="23" t="str">
        <x:v>FL.ru</x:v>
      </x:c>
      <x:c r="C50" s="23" t="str">
        <x:v>5514940</x:v>
      </x:c>
      <x:c r="D50" s="23" t="str">
        <x:v>Контент и медиа</x:v>
      </x:c>
      <x:c r="E50" s="29" t="n">
        <x:v>25</x:v>
      </x:c>
      <x:c r="F50" s="23" t="str">
        <x:v>0-59% - низкое / off-core</x:v>
      </x:c>
      <x:c r="G50" s="23" t="str">
        <x:v>open</x:v>
      </x:c>
      <x:c r="H50" s="23" t="str">
        <x:v>project</x:v>
      </x:c>
      <x:c r="I50" s="23" t="str">
        <x:v>Сгенерировать картинку в ИИ</x:v>
      </x:c>
      <x:c r="J50" s="23" t="str">
        <x:v>Собрать достопримечательности города в одну мультяшную композицию.</x:v>
      </x:c>
      <x:c r="K50" s="23" t="str">
        <x:v>AI здесь обычно является способом производства контента. Технический метч не превращает такую задачу в спрос на Kora.</x:v>
      </x:c>
      <x:c r="L50" s="23" t="str">
        <x:v>21 ответов</x:v>
      </x:c>
      <x:c r="M50" s="23" t="str">
        <x:v>по договоренности</x:v>
      </x:c>
      <x:c r="N50" s="23" t="str">
        <x:v>не показано</x:v>
      </x:c>
      <x:c r="O50" s="26" t="n">
        <x:v>21</x:v>
      </x:c>
      <x:c r="P50" s="23" t="str">
        <x:v>не сохранено</x:v>
      </x:c>
      <x:c r="Q50" s="23" t="str">
        <x:v>RU</x:v>
      </x:c>
      <x:c r="R50" s="23" t="str">
        <x:v>https://www.fl.ru/projects/5514940/sgenerirovat-kartinku-v-ii.html</x:v>
      </x:c>
      <x:c r="S50" s="23" t="str">
        <x:v>Контент / media</x:v>
      </x:c>
      <x:c r="T50" s="23" t="str">
        <x:v>FL.ru AI category</x:v>
      </x:c>
    </x:row>
    <x:row r="51" ht="48" customHeight="1">
      <x:c r="A51" s="26" t="n">
        <x:v>47</x:v>
      </x:c>
      <x:c r="B51" s="23" t="str">
        <x:v>FL.ru</x:v>
      </x:c>
      <x:c r="C51" s="23" t="str">
        <x:v>5509776</x:v>
      </x:c>
      <x:c r="D51" s="23" t="str">
        <x:v>Вакансии и роли</x:v>
      </x:c>
      <x:c r="E51" s="29" t="n">
        <x:v>25</x:v>
      </x:c>
      <x:c r="F51" s="23" t="str">
        <x:v>0-59% - низкое / off-core</x:v>
      </x:c>
      <x:c r="G51" s="23" t="str">
        <x:v>open</x:v>
      </x:c>
      <x:c r="H51" s="23" t="str">
        <x:v>vacancy</x:v>
      </x:c>
      <x:c r="I51" s="23" t="str">
        <x:v>Создание AI-мультфильмов</x:v>
      </x:c>
      <x:c r="J51" s="23" t="str">
        <x:v>Роль для генерации видео и анимации с помощью нейросетей.</x:v>
      </x:c>
      <x:c r="K51" s="23" t="str">
        <x:v>Метч относится к навыкам Давида, но это вакансия или найм, а не доказательство покупки Kora.</x:v>
      </x:c>
      <x:c r="L51" s="23" t="str">
        <x:v>Это вакансия, а не buyer project demand для Kora. 51 ответов: высокая конкуренция</x:v>
      </x:c>
      <x:c r="M51" s="23" t="str">
        <x:v>до 2 000 ₽</x:v>
      </x:c>
      <x:c r="N51" s="23" t="str">
        <x:v>не показано</x:v>
      </x:c>
      <x:c r="O51" s="26" t="n">
        <x:v>51</x:v>
      </x:c>
      <x:c r="P51" s="23" t="str">
        <x:v>не сохранено</x:v>
      </x:c>
      <x:c r="Q51" s="23" t="str">
        <x:v>RU</x:v>
      </x:c>
      <x:c r="R51" s="23" t="str">
        <x:v>https://www.fl.ru/projects/5509776/sozdanie-ai-multfilmov.html</x:v>
      </x:c>
      <x:c r="S51" s="23" t="str">
        <x:v>Вакансия / роль</x:v>
      </x:c>
      <x:c r="T51" s="23" t="str">
        <x:v>FL.ru AI category</x:v>
      </x:c>
    </x:row>
    <x:row r="52" ht="48" customHeight="1">
      <x:c r="A52" s="26" t="n">
        <x:v>48</x:v>
      </x:c>
      <x:c r="B52" s="23" t="str">
        <x:v>FL.ru</x:v>
      </x:c>
      <x:c r="C52" s="23" t="str">
        <x:v>5507941</x:v>
      </x:c>
      <x:c r="D52" s="23" t="str">
        <x:v>Контент и медиа</x:v>
      </x:c>
      <x:c r="E52" s="29" t="n">
        <x:v>25</x:v>
      </x:c>
      <x:c r="F52" s="23" t="str">
        <x:v>0-59% - низкое / off-core</x:v>
      </x:c>
      <x:c r="G52" s="23" t="str">
        <x:v>assigned</x:v>
      </x:c>
      <x:c r="H52" s="23" t="str">
        <x:v>project</x:v>
      </x:c>
      <x:c r="I52" s="23" t="str">
        <x:v>Визуал для шести коротких роликов</x:v>
      </x:c>
      <x:c r="J52" s="23" t="str">
        <x:v>Короткие ролики по готовому сценарию для лесного лагеря. Исполнитель уже определен.</x:v>
      </x:c>
      <x:c r="K52" s="23" t="str">
        <x:v>AI здесь обычно является способом производства контента. Технический метч не превращает такую задачу в спрос на Kora.</x:v>
      </x:c>
      <x:c r="L52" s="23" t="str">
        <x:v>Исполнитель уже определен: строка только для исторического спроса</x:v>
      </x:c>
      <x:c r="M52" s="23" t="str">
        <x:v>по договоренности</x:v>
      </x:c>
      <x:c r="N52" s="23" t="str">
        <x:v>не показано</x:v>
      </x:c>
      <x:c r="O52" s="26" t="n">
        <x:v>0</x:v>
      </x:c>
      <x:c r="P52" s="23" t="str">
        <x:v>не сохранено</x:v>
      </x:c>
      <x:c r="Q52" s="23" t="str">
        <x:v>RU</x:v>
      </x:c>
      <x:c r="R52" s="23" t="str">
        <x:v>https://www.fl.ru/projects/5507941/vizual-dlya-6-korotkih-verikalnyih-neyrosetevyih-rolika-videootryivki-opisyivayuschie-aktivnost.html</x:v>
      </x:c>
      <x:c r="S52" s="23" t="str">
        <x:v>Контент / media</x:v>
      </x:c>
      <x:c r="T52" s="23" t="str">
        <x:v>FL.ru AI category</x:v>
      </x:c>
    </x:row>
    <x:row r="53" ht="48" customHeight="1">
      <x:c r="A53" s="26" t="n">
        <x:v>49</x:v>
      </x:c>
      <x:c r="B53" s="23" t="str">
        <x:v>FL.ru</x:v>
      </x:c>
      <x:c r="C53" s="23" t="str">
        <x:v>5513292</x:v>
      </x:c>
      <x:c r="D53" s="23" t="str">
        <x:v>Вакансии и роли</x:v>
      </x:c>
      <x:c r="E53" s="29" t="n">
        <x:v>20</x:v>
      </x:c>
      <x:c r="F53" s="23" t="str">
        <x:v>0-59% - низкое / off-core</x:v>
      </x:c>
      <x:c r="G53" s="23" t="str">
        <x:v>open</x:v>
      </x:c>
      <x:c r="H53" s="23" t="str">
        <x:v>vacancy</x:v>
      </x:c>
      <x:c r="I53" s="23" t="str">
        <x:v>YouTube-менеджер</x:v>
      </x:c>
      <x:c r="J53" s="23" t="str">
        <x:v>Полное ведение канала, контент-план и аналитика. AI-боль не описана.</x:v>
      </x:c>
      <x:c r="K53" s="23" t="str">
        <x:v>Метч относится к навыкам Давида, но это вакансия или найм, а не доказательство покупки Kora.</x:v>
      </x:c>
      <x:c r="L53" s="23" t="str">
        <x:v>Это вакансия, а не buyer project demand для Kora. 13 ответов</x:v>
      </x:c>
      <x:c r="M53" s="23" t="str">
        <x:v>до 10 000 ₽</x:v>
      </x:c>
      <x:c r="N53" s="23" t="str">
        <x:v>не показано</x:v>
      </x:c>
      <x:c r="O53" s="26" t="n">
        <x:v>13</x:v>
      </x:c>
      <x:c r="P53" s="23" t="str">
        <x:v>не сохранено</x:v>
      </x:c>
      <x:c r="Q53" s="23" t="str">
        <x:v>RU</x:v>
      </x:c>
      <x:c r="R53" s="23" t="str">
        <x:v>https://www.fl.ru/projects/5513292/youtube-menedjer-dlya-vedeniya-kanala.html</x:v>
      </x:c>
      <x:c r="S53" s="23" t="str">
        <x:v>Вакансия / роль</x:v>
      </x:c>
      <x:c r="T53" s="23" t="str">
        <x:v>FL.ru AI category</x:v>
      </x:c>
    </x:row>
    <x:row r="54" ht="48" customHeight="1">
      <x:c r="A54" s="26" t="n">
        <x:v>50</x:v>
      </x:c>
      <x:c r="B54" s="23" t="str">
        <x:v>FL.ru</x:v>
      </x:c>
      <x:c r="C54" s="23" t="str">
        <x:v>5507575</x:v>
      </x:c>
      <x:c r="D54" s="23" t="str">
        <x:v>Вакансии и роли</x:v>
      </x:c>
      <x:c r="E54" s="29" t="n">
        <x:v>20</x:v>
      </x:c>
      <x:c r="F54" s="23" t="str">
        <x:v>0-59% - низкое / off-core</x:v>
      </x:c>
      <x:c r="G54" s="23" t="str">
        <x:v>open</x:v>
      </x:c>
      <x:c r="H54" s="23" t="str">
        <x:v>vacancy</x:v>
      </x:c>
      <x:c r="I54" s="23" t="str">
        <x:v>Куратор AI-инструментов</x:v>
      </x:c>
      <x:c r="J54" s="23" t="str">
        <x:v>Сопровождение участников образовательного AI-проекта.</x:v>
      </x:c>
      <x:c r="K54" s="23" t="str">
        <x:v>Метч относится к навыкам Давида, но это вакансия или найм, а не доказательство покупки Kora.</x:v>
      </x:c>
      <x:c r="L54" s="23" t="str">
        <x:v>Это вакансия, а не buyer project demand для Kora. 22 ответов</x:v>
      </x:c>
      <x:c r="M54" s="23" t="str">
        <x:v>до 40 000 ₽</x:v>
      </x:c>
      <x:c r="N54" s="23" t="str">
        <x:v>не показано</x:v>
      </x:c>
      <x:c r="O54" s="26" t="n">
        <x:v>22</x:v>
      </x:c>
      <x:c r="P54" s="23" t="str">
        <x:v>не сохранено</x:v>
      </x:c>
      <x:c r="Q54" s="23" t="str">
        <x:v>RU</x:v>
      </x:c>
      <x:c r="R54" s="23" t="str">
        <x:v>https://www.fl.ru/projects/5507575/kurator-ai-instrumentov.html</x:v>
      </x:c>
      <x:c r="S54" s="23" t="str">
        <x:v>Вакансия / роль</x:v>
      </x:c>
      <x:c r="T54" s="23" t="str">
        <x:v>FL.ru AI category</x:v>
      </x:c>
    </x:row>
    <x:row r="55" ht="48" customHeight="1">
      <x:c r="A55" s="26" t="n">
        <x:v>51</x:v>
      </x:c>
      <x:c r="B55" s="23" t="str">
        <x:v>FL.ru</x:v>
      </x:c>
      <x:c r="C55" s="23" t="str">
        <x:v>5507284</x:v>
      </x:c>
      <x:c r="D55" s="23" t="str">
        <x:v>Вакансии и роли</x:v>
      </x:c>
      <x:c r="E55" s="29" t="n">
        <x:v>20</x:v>
      </x:c>
      <x:c r="F55" s="23" t="str">
        <x:v>0-59% - низкое / off-core</x:v>
      </x:c>
      <x:c r="G55" s="23" t="str">
        <x:v>open</x:v>
      </x:c>
      <x:c r="H55" s="23" t="str">
        <x:v>vacancy</x:v>
      </x:c>
      <x:c r="I55" s="23" t="str">
        <x:v>Куратор по вайб-кодингу</x:v>
      </x:c>
      <x:c r="J55" s="23" t="str">
        <x:v>Наставник в образовательной программе по AI-инструментам.</x:v>
      </x:c>
      <x:c r="K55" s="23" t="str">
        <x:v>Метч относится к навыкам Давида, но это вакансия или найм, а не доказательство покупки Kora.</x:v>
      </x:c>
      <x:c r="L55" s="23" t="str">
        <x:v>Это вакансия, а не buyer project demand для Kora. 28 ответов</x:v>
      </x:c>
      <x:c r="M55" s="23" t="str">
        <x:v>до 40 000 ₽</x:v>
      </x:c>
      <x:c r="N55" s="23" t="str">
        <x:v>не показано</x:v>
      </x:c>
      <x:c r="O55" s="26" t="n">
        <x:v>28</x:v>
      </x:c>
      <x:c r="P55" s="23" t="str">
        <x:v>не сохранено</x:v>
      </x:c>
      <x:c r="Q55" s="23" t="str">
        <x:v>RU</x:v>
      </x:c>
      <x:c r="R55" s="23" t="str">
        <x:v>https://www.fl.ru/projects/5507284/kurator-po-vay-kodingu-.html</x:v>
      </x:c>
      <x:c r="S55" s="23" t="str">
        <x:v>Вакансия / роль</x:v>
      </x:c>
      <x:c r="T55" s="23" t="str">
        <x:v>FL.ru AI category</x:v>
      </x:c>
    </x:row>
    <x:row r="56" ht="48" customHeight="1">
      <x:c r="A56" s="26" t="n">
        <x:v>52</x:v>
      </x:c>
      <x:c r="B56" s="23" t="str">
        <x:v>FL.ru</x:v>
      </x:c>
      <x:c r="C56" s="23" t="str">
        <x:v>5507579</x:v>
      </x:c>
      <x:c r="D56" s="23" t="str">
        <x:v>Вакансии и роли</x:v>
      </x:c>
      <x:c r="E56" s="29" t="n">
        <x:v>20</x:v>
      </x:c>
      <x:c r="F56" s="23" t="str">
        <x:v>0-59% - низкое / off-core</x:v>
      </x:c>
      <x:c r="G56" s="23" t="str">
        <x:v>open</x:v>
      </x:c>
      <x:c r="H56" s="23" t="str">
        <x:v>vacancy</x:v>
      </x:c>
      <x:c r="I56" s="23" t="str">
        <x:v>Проверка чата AI</x:v>
      </x:c>
      <x:c r="J56" s="23" t="str">
        <x:v>Сопровождение участников образовательного AI-проекта.</x:v>
      </x:c>
      <x:c r="K56" s="23" t="str">
        <x:v>Метч относится к навыкам Давида, но это вакансия или найм, а не доказательство покупки Kora.</x:v>
      </x:c>
      <x:c r="L56" s="23" t="str">
        <x:v>31 ответ; возможный дубль 5507575; не считать независимым demand signal.</x:v>
      </x:c>
      <x:c r="M56" s="23" t="str">
        <x:v>до 40 000 ₽</x:v>
      </x:c>
      <x:c r="N56" s="23" t="str">
        <x:v>не показано</x:v>
      </x:c>
      <x:c r="O56" s="26" t="n">
        <x:v>31</x:v>
      </x:c>
      <x:c r="P56" s="23" t="str">
        <x:v>не сохранено</x:v>
      </x:c>
      <x:c r="Q56" s="23" t="str">
        <x:v>RU</x:v>
      </x:c>
      <x:c r="R56" s="23" t="str">
        <x:v>https://www.fl.ru/projects/5507579/proverka-chata-ai.html</x:v>
      </x:c>
      <x:c r="S56" s="23" t="str">
        <x:v>Вакансия / роль</x:v>
      </x:c>
      <x:c r="T56" s="23" t="str">
        <x:v>FL.ru AI category</x:v>
      </x:c>
    </x:row>
    <x:row r="57" ht="48" customHeight="1">
      <x:c r="A57" s="26" t="n">
        <x:v>53</x:v>
      </x:c>
      <x:c r="B57" s="23" t="str">
        <x:v>FL.ru</x:v>
      </x:c>
      <x:c r="C57" s="23" t="str">
        <x:v>5513306</x:v>
      </x:c>
      <x:c r="D57" s="23" t="str">
        <x:v>Вакансии и роли</x:v>
      </x:c>
      <x:c r="E57" s="29" t="n">
        <x:v>20</x:v>
      </x:c>
      <x:c r="F57" s="23" t="str">
        <x:v>0-59% - низкое / off-core</x:v>
      </x:c>
      <x:c r="G57" s="23" t="str">
        <x:v>open</x:v>
      </x:c>
      <x:c r="H57" s="23" t="str">
        <x:v>vacancy</x:v>
      </x:c>
      <x:c r="I57" s="23" t="str">
        <x:v>Редактирование 15-секундного видео</x:v>
      </x:c>
      <x:c r="J57" s="23" t="str">
        <x:v>Заменить фон и дорисовать длинный рукав.</x:v>
      </x:c>
      <x:c r="K57" s="23" t="str">
        <x:v>Метч относится к навыкам Давида, но это вакансия или найм, а не доказательство покупки Kora.</x:v>
      </x:c>
      <x:c r="L57" s="23" t="str">
        <x:v>Это вакансия, а не buyer project demand для Kora. 53 ответов: высокая конкуренция</x:v>
      </x:c>
      <x:c r="M57" s="23" t="str">
        <x:v>1 000 ₽</x:v>
      </x:c>
      <x:c r="N57" s="23" t="str">
        <x:v>не показано</x:v>
      </x:c>
      <x:c r="O57" s="26" t="n">
        <x:v>53</x:v>
      </x:c>
      <x:c r="P57" s="23" t="str">
        <x:v>не сохранено</x:v>
      </x:c>
      <x:c r="Q57" s="23" t="str">
        <x:v>RU</x:v>
      </x:c>
      <x:c r="R57" s="23" t="str">
        <x:v>https://www.fl.ru/projects/5513306/ii-redaktirovanie-video-15-sek-samo-video-est-.html</x:v>
      </x:c>
      <x:c r="S57" s="23" t="str">
        <x:v>Вакансия / роль</x:v>
      </x:c>
      <x:c r="T57" s="23" t="str">
        <x:v>FL.ru AI category</x:v>
      </x:c>
    </x:row>
    <x:row r="58" ht="48" customHeight="1">
      <x:c r="A58" s="26" t="n">
        <x:v>54</x:v>
      </x:c>
      <x:c r="B58" s="23" t="str">
        <x:v>FL.ru</x:v>
      </x:c>
      <x:c r="C58" s="23" t="str">
        <x:v>5514075</x:v>
      </x:c>
      <x:c r="D58" s="23" t="str">
        <x:v>Смежное</x:v>
      </x:c>
      <x:c r="E58" s="29" t="n">
        <x:v>20</x:v>
      </x:c>
      <x:c r="F58" s="23" t="str">
        <x:v>0-59% - низкое / off-core</x:v>
      </x:c>
      <x:c r="G58" s="23" t="str">
        <x:v>assigned</x:v>
      </x:c>
      <x:c r="H58" s="23" t="str">
        <x:v>project</x:v>
      </x:c>
      <x:c r="I58" s="23" t="str">
        <x:v>Пиксельная разметка фотографий</x:v>
      </x:c>
      <x:c r="J58" s="23" t="str">
        <x:v>Ручная разметка 40 фотографий личинок. Исполнитель уже определен.</x:v>
      </x:c>
      <x:c r="K58" s="23" t="str">
        <x:v>Частичное или слабое совпадение. Использовать только как дополнительный сигнал, не как приоритетный лид.</x:v>
      </x:c>
      <x:c r="L58" s="23" t="str">
        <x:v>Исполнитель уже определен: строка только для исторического спроса</x:v>
      </x:c>
      <x:c r="M58" s="23" t="str">
        <x:v>4 000</x:v>
      </x:c>
      <x:c r="N58" s="23" t="str">
        <x:v>не показано</x:v>
      </x:c>
      <x:c r="O58" s="26" t="n">
        <x:v>0</x:v>
      </x:c>
      <x:c r="P58" s="23" t="str">
        <x:v>не сохранено</x:v>
      </x:c>
      <x:c r="Q58" s="23" t="str">
        <x:v>RU</x:v>
      </x:c>
      <x:c r="R58" s="23" t="str">
        <x:v>https://www.fl.ru/projects/5514075/razmetka-40-fotografiy-lichinok-popikselnyimi-maskami.html</x:v>
      </x:c>
      <x:c r="S58" s="23" t="str">
        <x:v>Смежное</x:v>
      </x:c>
      <x:c r="T58" s="23" t="str">
        <x:v>FL.ru AI category</x:v>
      </x:c>
    </x:row>
    <x:row r="59" ht="48" customHeight="1">
      <x:c r="A59" s="26" t="n">
        <x:v>55</x:v>
      </x:c>
      <x:c r="B59" s="23" t="str">
        <x:v>FL.ru</x:v>
      </x:c>
      <x:c r="C59" s="23" t="str">
        <x:v>5513649</x:v>
      </x:c>
      <x:c r="D59" s="23" t="str">
        <x:v>Вакансии и роли</x:v>
      </x:c>
      <x:c r="E59" s="29" t="n">
        <x:v>15</x:v>
      </x:c>
      <x:c r="F59" s="23" t="str">
        <x:v>0-59% - низкое / off-core</x:v>
      </x:c>
      <x:c r="G59" s="23" t="str">
        <x:v>open</x:v>
      </x:c>
      <x:c r="H59" s="23" t="str">
        <x:v>vacancy</x:v>
      </x:c>
      <x:c r="I59" s="23" t="str">
        <x:v>Venture Strategy &amp; AI Intelligence Intern</x:v>
      </x:c>
      <x:c r="J59" s="23" t="str">
        <x:v>Удаленная стажировка в аналитической платформе для стартапов.</x:v>
      </x:c>
      <x:c r="K59" s="23" t="str">
        <x:v>Метч относится к навыкам Давида, но это вакансия или найм, а не доказательство покупки Kora.</x:v>
      </x:c>
      <x:c r="L59" s="23" t="str">
        <x:v>Это вакансия, а не buyer project demand для Kora. 6 ответов</x:v>
      </x:c>
      <x:c r="M59" s="23" t="str">
        <x:v>по результатам собеседования</x:v>
      </x:c>
      <x:c r="N59" s="23" t="str">
        <x:v>не показано</x:v>
      </x:c>
      <x:c r="O59" s="26" t="n">
        <x:v>6</x:v>
      </x:c>
      <x:c r="P59" s="23" t="str">
        <x:v>не сохранено</x:v>
      </x:c>
      <x:c r="Q59" s="23" t="str">
        <x:v>RU</x:v>
      </x:c>
      <x:c r="R59" s="23" t="str">
        <x:v>https://www.fl.ru/projects/5513649/venture-strategy--ai-intelligence-consultant-intern.html</x:v>
      </x:c>
      <x:c r="S59" s="23" t="str">
        <x:v>Вакансия / роль</x:v>
      </x:c>
      <x:c r="T59" s="23" t="str">
        <x:v>FL.ru AI category</x:v>
      </x:c>
    </x:row>
    <x:row r="60" ht="48" customHeight="1">
      <x:c r="A60" s="26" t="n">
        <x:v>56</x:v>
      </x:c>
      <x:c r="B60" s="23" t="str">
        <x:v>FL.ru</x:v>
      </x:c>
      <x:c r="C60" s="23" t="str">
        <x:v>5514593</x:v>
      </x:c>
      <x:c r="D60" s="23" t="str">
        <x:v>Риск / исключить</x:v>
      </x:c>
      <x:c r="E60" s="29" t="n">
        <x:v>0</x:v>
      </x:c>
      <x:c r="F60" s="23" t="str">
        <x:v>0-59% - низкое / off-core</x:v>
      </x:c>
      <x:c r="G60" s="23" t="str">
        <x:v>open</x:v>
      </x:c>
      <x:c r="H60" s="23" t="str">
        <x:v>project</x:v>
      </x:c>
      <x:c r="I60" s="23" t="str">
        <x:v>Доработать программу для покера</x:v>
      </x:c>
      <x:c r="J60" s="23" t="str">
        <x:v>Автоматический бот для прибыльной игры в покер. Высокий риск нарушения правил и недобросовестного использования.</x:v>
      </x:c>
      <x:c r="K60" s="23" t="str">
        <x:v>Даже при техническом совпадении задача не подходит для первого безопасного оффера Kora.</x:v>
      </x:c>
      <x:c r="L60" s="23" t="str">
        <x:v>Этический, правовой или platform-policy риск. 26 ответов</x:v>
      </x:c>
      <x:c r="M60" s="23" t="str">
        <x:v>по договоренности</x:v>
      </x:c>
      <x:c r="N60" s="23" t="str">
        <x:v>не показано</x:v>
      </x:c>
      <x:c r="O60" s="26" t="n">
        <x:v>26</x:v>
      </x:c>
      <x:c r="P60" s="23" t="str">
        <x:v>не сохранено</x:v>
      </x:c>
      <x:c r="Q60" s="23" t="str">
        <x:v>RU</x:v>
      </x:c>
      <x:c r="R60" s="23" t="str">
        <x:v>https://www.fl.ru/projects/5514593/dorabotat-programmu-poker--ii.html</x:v>
      </x:c>
      <x:c r="S60" s="23" t="str">
        <x:v>Риск / исключить</x:v>
      </x:c>
      <x:c r="T60" s="23" t="str">
        <x:v>FL.ru AI category</x:v>
      </x:c>
    </x:row>
    <x:row r="61" ht="48" customHeight="1">
      <x:c r="A61" s="26" t="n">
        <x:v>57</x:v>
      </x:c>
      <x:c r="B61" s="23" t="str">
        <x:v>FL.ru</x:v>
      </x:c>
      <x:c r="C61" s="23" t="str">
        <x:v>5514284</x:v>
      </x:c>
      <x:c r="D61" s="23" t="str">
        <x:v>Риск / исключить</x:v>
      </x:c>
      <x:c r="E61" s="29" t="n">
        <x:v>0</x:v>
      </x:c>
      <x:c r="F61" s="23" t="str">
        <x:v>0-59% - низкое / off-core</x:v>
      </x:c>
      <x:c r="G61" s="23" t="str">
        <x:v>open</x:v>
      </x:c>
      <x:c r="H61" s="23" t="str">
        <x:v>project</x:v>
      </x:c>
      <x:c r="I61" s="23" t="str">
        <x:v>Записать песню на готовый текст</x:v>
      </x:c>
      <x:c r="J61" s="23" t="str">
        <x:v>Заказчик просит имитировать голос известной певицы.</x:v>
      </x:c>
      <x:c r="K61" s="23" t="str">
        <x:v>Даже при техническом совпадении задача не подходит для первого безопасного оффера Kora.</x:v>
      </x:c>
      <x:c r="L61" s="23" t="str">
        <x:v>Этический, правовой или platform-policy риск. 1 ответов</x:v>
      </x:c>
      <x:c r="M61" s="23" t="str">
        <x:v>по договоренности</x:v>
      </x:c>
      <x:c r="N61" s="23" t="str">
        <x:v>не показано</x:v>
      </x:c>
      <x:c r="O61" s="26" t="n">
        <x:v>1</x:v>
      </x:c>
      <x:c r="P61" s="23" t="str">
        <x:v>не сохранено</x:v>
      </x:c>
      <x:c r="Q61" s="23" t="str">
        <x:v>RU</x:v>
      </x:c>
      <x:c r="R61" s="23" t="str">
        <x:v>https://www.fl.ru/projects/5514284/zdravstvuyte-mne-nujno-zapisat-pesnyu-na-moy-gotovyiy-tekst.html</x:v>
      </x:c>
      <x:c r="S61" s="23" t="str">
        <x:v>Риск / исключить</x:v>
      </x:c>
      <x:c r="T61" s="23" t="str">
        <x:v>FL.ru AI category</x:v>
      </x:c>
    </x:row>
    <x:row r="62" ht="48" customHeight="1">
      <x:c r="A62" s="27" t="n">
        <x:v>58</x:v>
      </x:c>
      <x:c r="B62" s="24" t="str">
        <x:v>FL.ru</x:v>
      </x:c>
      <x:c r="C62" s="24" t="str">
        <x:v>5514239</x:v>
      </x:c>
      <x:c r="D62" s="24" t="str">
        <x:v>Общие, слабые или off-core</x:v>
      </x:c>
      <x:c r="E62" s="30" t="n">
        <x:v>0</x:v>
      </x:c>
      <x:c r="F62" s="24" t="str">
        <x:v>0-59% - низкое / off-core</x:v>
      </x:c>
      <x:c r="G62" s="24" t="str">
        <x:v>open</x:v>
      </x:c>
      <x:c r="H62" s="24" t="str">
        <x:v>vacancy</x:v>
      </x:c>
      <x:c r="I62" s="24" t="str">
        <x:v>Массажист / SPA-специалист</x:v>
      </x:c>
      <x:c r="J62" s="24" t="str">
        <x:v>Ложное попадание в AI-категорию.</x:v>
      </x:c>
      <x:c r="K62" s="24" t="str">
        <x:v>Частичное или слабое совпадение. Использовать только как дополнительный сигнал, не как приоритетный лид.</x:v>
      </x:c>
      <x:c r="L62" s="24" t="str">
        <x:v>Это вакансия, а не buyer project demand для Kora. 1 ответов</x:v>
      </x:c>
      <x:c r="M62" s="24" t="str">
        <x:v>70 000 ₽ - 120 000 ₽</x:v>
      </x:c>
      <x:c r="N62" s="24" t="str">
        <x:v>не показано</x:v>
      </x:c>
      <x:c r="O62" s="27" t="n">
        <x:v>1</x:v>
      </x:c>
      <x:c r="P62" s="24" t="str">
        <x:v>не сохранено</x:v>
      </x:c>
      <x:c r="Q62" s="24" t="str">
        <x:v>RU</x:v>
      </x:c>
      <x:c r="R62" s="24" t="str">
        <x:v>https://www.fl.ru/projects/5514239/massajist---spa-spetsialist.html</x:v>
      </x:c>
      <x:c r="S62" s="24" t="str">
        <x:v>Нерелевантно</x:v>
      </x:c>
      <x:c r="T62" s="24" t="str">
        <x:v>FL.ru AI category</x:v>
      </x:c>
    </x:row>
  </x:sheetData>
  <x:mergeCells>
    <x:mergeCell ref="A1:T2"/>
    <x:mergeCell ref="A3:T3"/>
  </x:mergeCells>
  <x:conditionalFormatting sqref="E5:E62">
    <x:cfRule type="cellIs" dxfId="8" priority="1" operator="greaterThanOrEqual">
      <x:formula>90</x:formula>
    </x:cfRule>
    <x:cfRule type="cellIs" dxfId="9" priority="2" operator="between">
      <x:formula>80</x:formula>
      <x:formula>89</x:formula>
    </x:cfRule>
    <x:cfRule type="cellIs" dxfId="10" priority="3" operator="between">
      <x:formula>70</x:formula>
      <x:formula>79</x:formula>
    </x:cfRule>
    <x:cfRule type="cellIs" dxfId="11" priority="4" operator="lessThan">
      <x:formula>70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bb83c1c4344e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</x:cols>
  <x:sheetData>
    <x:row r="1" ht="24" customHeight="1">
      <x:c r="A1" s="4" t="str">
        <x:v>Категории найденных задач</x:v>
      </x:c>
      <x:c r="B1" s="4" t="str">
        <x:v>Категории найденных задач</x:v>
      </x:c>
      <x:c r="C1" s="4" t="str">
        <x:v>Категории найденных задач</x:v>
      </x:c>
      <x:c r="D1" s="4" t="str">
        <x:v>Категории найденных задач</x:v>
      </x:c>
      <x:c r="E1" s="4" t="str">
        <x:v>Категории найденных задач</x:v>
      </x:c>
      <x:c r="F1" s="4" t="str">
        <x:v>Категории найденных задач</x:v>
      </x:c>
    </x:row>
    <x:row r="2" ht="24" customHeight="1">
      <x:c r="A2" s="4" t="str">
        <x:v>Категории найденных задач</x:v>
      </x:c>
      <x:c r="B2" s="4" t="str">
        <x:v>Категории найденных задач</x:v>
      </x:c>
      <x:c r="C2" s="4" t="str">
        <x:v>Категории найденных задач</x:v>
      </x:c>
      <x:c r="D2" s="4" t="str">
        <x:v>Категории найденных задач</x:v>
      </x:c>
      <x:c r="E2" s="4" t="str">
        <x:v>Категории найденных задач</x:v>
      </x:c>
      <x:c r="F2" s="4" t="str">
        <x:v>Категории найденных задач</x:v>
      </x:c>
    </x:row>
    <x:row r="3" ht="34" customHeight="1">
      <x:c r="A3" s="9" t="str">
        <x:v>Единая таксономия поверх исходных категорий Upwork и FL.ru. Счётчики вычисляются из полного листа «Все задачи».</x:v>
      </x:c>
      <x:c r="B3" s="9" t="str">
        <x:v>Единая таксономия поверх исходных категорий Upwork и FL.ru. Счётчики вычисляются из полного листа «Все задачи».</x:v>
      </x:c>
      <x:c r="C3" s="9" t="str">
        <x:v>Единая таксономия поверх исходных категорий Upwork и FL.ru. Счётчики вычисляются из полного листа «Все задачи».</x:v>
      </x:c>
      <x:c r="D3" s="9" t="str">
        <x:v>Единая таксономия поверх исходных категорий Upwork и FL.ru. Счётчики вычисляются из полного листа «Все задачи».</x:v>
      </x:c>
      <x:c r="E3" s="9" t="str">
        <x:v>Единая таксономия поверх исходных категорий Upwork и FL.ru. Счётчики вычисляются из полного листа «Все задачи».</x:v>
      </x:c>
      <x:c r="F3" s="9" t="str">
        <x:v>Единая таксономия поверх исходных категорий Upwork и FL.ru. Счётчики вычисляются из полного листа «Все задачи».</x:v>
      </x:c>
    </x:row>
    <x:row r="5">
      <x:c r="A5" s="53" t="str">
        <x:v>Категория</x:v>
      </x:c>
      <x:c r="B5" s="53" t="str">
        <x:v>Всего</x:v>
      </x:c>
      <x:c r="C5" s="53" t="str">
        <x:v>Upwork</x:v>
      </x:c>
      <x:c r="D5" s="53" t="str">
        <x:v>FL.ru</x:v>
      </x:c>
      <x:c r="E5" s="53" t="str">
        <x:v>Доля корпуса</x:v>
      </x:c>
    </x:row>
    <x:row r="6">
      <x:c r="A6" s="55" t="str">
        <x:v>AI-агенты и оркестрация</x:v>
      </x:c>
      <x:c r="B6" s="58" t="n">
        <x:f>COUNTIF('Все задачи'!$D$5:$D$162,A6)</x:f>
        <x:v>27</x:v>
      </x:c>
      <x:c r="C6" s="58" t="n">
        <x:f>COUNTIFS('Все задачи'!$D$5:$D$162,A6,'Все задачи'!$B$5:$B$162,"Upwork")</x:f>
        <x:v>25</x:v>
      </x:c>
      <x:c r="D6" s="58" t="n">
        <x:f>COUNTIFS('Все задачи'!$D$5:$D$162,A6,'Все задачи'!$B$5:$B$162,"FL.ru")</x:f>
        <x:v>2</x:v>
      </x:c>
      <x:c r="E6" s="61" t="n">
        <x:f>B6/COUNTA('Все задачи'!$A$5:$A$162)</x:f>
        <x:v>0.17088607594936708</x:v>
      </x:c>
    </x:row>
    <x:row r="7">
      <x:c r="A7" s="56" t="str">
        <x:v>AI-продукты и full-stack</x:v>
      </x:c>
      <x:c r="B7" s="59" t="n">
        <x:f>COUNTIF('Все задачи'!$D$5:$D$162,A7)</x:f>
        <x:v>16</x:v>
      </x:c>
      <x:c r="C7" s="59" t="n">
        <x:f>COUNTIFS('Все задачи'!$D$5:$D$162,A7,'Все задачи'!$B$5:$B$162,"Upwork")</x:f>
        <x:v>12</x:v>
      </x:c>
      <x:c r="D7" s="59" t="n">
        <x:f>COUNTIFS('Все задачи'!$D$5:$D$162,A7,'Все задачи'!$B$5:$B$162,"FL.ru")</x:f>
        <x:v>4</x:v>
      </x:c>
      <x:c r="E7" s="62" t="n">
        <x:f>B7/COUNTA('Все задачи'!$A$5:$A$162)</x:f>
        <x:v>0.10126582278481013</x:v>
      </x:c>
    </x:row>
    <x:row r="8">
      <x:c r="A8" s="56" t="str">
        <x:v>RAG и базы знаний</x:v>
      </x:c>
      <x:c r="B8" s="59" t="n">
        <x:f>COUNTIF('Все задачи'!$D$5:$D$162,A8)</x:f>
        <x:v>6</x:v>
      </x:c>
      <x:c r="C8" s="59" t="n">
        <x:f>COUNTIFS('Все задачи'!$D$5:$D$162,A8,'Все задачи'!$B$5:$B$162,"Upwork")</x:f>
        <x:v>6</x:v>
      </x:c>
      <x:c r="D8" s="59" t="n">
        <x:f>COUNTIFS('Все задачи'!$D$5:$D$162,A8,'Все задачи'!$B$5:$B$162,"FL.ru")</x:f>
        <x:v>0</x:v>
      </x:c>
      <x:c r="E8" s="62" t="n">
        <x:f>B8/COUNTA('Все задачи'!$A$5:$A$162)</x:f>
        <x:v>0.0379746835443038</x:v>
      </x:c>
    </x:row>
    <x:row r="9">
      <x:c r="A9" s="56" t="str">
        <x:v>Автоматизация процессов и интеграции</x:v>
      </x:c>
      <x:c r="B9" s="59" t="n">
        <x:f>COUNTIF('Все задачи'!$D$5:$D$162,A9)</x:f>
        <x:v>33</x:v>
      </x:c>
      <x:c r="C9" s="59" t="n">
        <x:f>COUNTIFS('Все задачи'!$D$5:$D$162,A9,'Все задачи'!$B$5:$B$162,"Upwork")</x:f>
        <x:v>30</x:v>
      </x:c>
      <x:c r="D9" s="59" t="n">
        <x:f>COUNTIFS('Все задачи'!$D$5:$D$162,A9,'Все задачи'!$B$5:$B$162,"FL.ru")</x:f>
        <x:v>3</x:v>
      </x:c>
      <x:c r="E9" s="62" t="n">
        <x:f>B9/COUNTA('Все задачи'!$A$5:$A$162)</x:f>
        <x:v>0.2088607594936709</x:v>
      </x:c>
    </x:row>
    <x:row r="10">
      <x:c r="A10" s="56" t="str">
        <x:v>Вакансии и роли</x:v>
      </x:c>
      <x:c r="B10" s="59" t="n">
        <x:f>COUNTIF('Все задачи'!$D$5:$D$162,A10)</x:f>
        <x:v>20</x:v>
      </x:c>
      <x:c r="C10" s="59" t="n">
        <x:f>COUNTIFS('Все задачи'!$D$5:$D$162,A10,'Все задачи'!$B$5:$B$162,"Upwork")</x:f>
        <x:v>0</x:v>
      </x:c>
      <x:c r="D10" s="59" t="n">
        <x:f>COUNTIFS('Все задачи'!$D$5:$D$162,A10,'Все задачи'!$B$5:$B$162,"FL.ru")</x:f>
        <x:v>20</x:v>
      </x:c>
      <x:c r="E10" s="62" t="n">
        <x:f>B10/COUNTA('Все задачи'!$A$5:$A$162)</x:f>
        <x:v>0.12658227848101267</x:v>
      </x:c>
    </x:row>
    <x:row r="11">
      <x:c r="A11" s="56" t="str">
        <x:v>Голос и мультимедиа</x:v>
      </x:c>
      <x:c r="B11" s="59" t="n">
        <x:f>COUNTIF('Все задачи'!$D$5:$D$162,A11)</x:f>
        <x:v>6</x:v>
      </x:c>
      <x:c r="C11" s="59" t="n">
        <x:f>COUNTIFS('Все задачи'!$D$5:$D$162,A11,'Все задачи'!$B$5:$B$162,"Upwork")</x:f>
        <x:v>6</x:v>
      </x:c>
      <x:c r="D11" s="59" t="n">
        <x:f>COUNTIFS('Все задачи'!$D$5:$D$162,A11,'Все задачи'!$B$5:$B$162,"FL.ru")</x:f>
        <x:v>0</x:v>
      </x:c>
      <x:c r="E11" s="62" t="n">
        <x:f>B11/COUNTA('Все задачи'!$A$5:$A$162)</x:f>
        <x:v>0.0379746835443038</x:v>
      </x:c>
    </x:row>
    <x:row r="12">
      <x:c r="A12" s="56" t="str">
        <x:v>Данные и computer vision</x:v>
      </x:c>
      <x:c r="B12" s="59" t="n">
        <x:f>COUNTIF('Все задачи'!$D$5:$D$162,A12)</x:f>
        <x:v>1</x:v>
      </x:c>
      <x:c r="C12" s="59" t="n">
        <x:f>COUNTIFS('Все задачи'!$D$5:$D$162,A12,'Все задачи'!$B$5:$B$162,"Upwork")</x:f>
        <x:v>0</x:v>
      </x:c>
      <x:c r="D12" s="59" t="n">
        <x:f>COUNTIFS('Все задачи'!$D$5:$D$162,A12,'Все задачи'!$B$5:$B$162,"FL.ru")</x:f>
        <x:v>1</x:v>
      </x:c>
      <x:c r="E12" s="62" t="n">
        <x:f>B12/COUNTA('Все задачи'!$A$5:$A$162)</x:f>
        <x:v>0.006329113924050633</x:v>
      </x:c>
    </x:row>
    <x:row r="13">
      <x:c r="A13" s="56" t="str">
        <x:v>Документы и данные</x:v>
      </x:c>
      <x:c r="B13" s="59" t="n">
        <x:f>COUNTIF('Все задачи'!$D$5:$D$162,A13)</x:f>
        <x:v>2</x:v>
      </x:c>
      <x:c r="C13" s="59" t="n">
        <x:f>COUNTIFS('Все задачи'!$D$5:$D$162,A13,'Все задачи'!$B$5:$B$162,"Upwork")</x:f>
        <x:v>0</x:v>
      </x:c>
      <x:c r="D13" s="59" t="n">
        <x:f>COUNTIFS('Все задачи'!$D$5:$D$162,A13,'Все задачи'!$B$5:$B$162,"FL.ru")</x:f>
        <x:v>2</x:v>
      </x:c>
      <x:c r="E13" s="62" t="n">
        <x:f>B13/COUNTA('Все задачи'!$A$5:$A$162)</x:f>
        <x:v>0.012658227848101266</x:v>
      </x:c>
    </x:row>
    <x:row r="14">
      <x:c r="A14" s="56" t="str">
        <x:v>Инфраструктура и Claude</x:v>
      </x:c>
      <x:c r="B14" s="59" t="n">
        <x:f>COUNTIF('Все задачи'!$D$5:$D$162,A14)</x:f>
        <x:v>3</x:v>
      </x:c>
      <x:c r="C14" s="59" t="n">
        <x:f>COUNTIFS('Все задачи'!$D$5:$D$162,A14,'Все задачи'!$B$5:$B$162,"Upwork")</x:f>
        <x:v>0</x:v>
      </x:c>
      <x:c r="D14" s="59" t="n">
        <x:f>COUNTIFS('Все задачи'!$D$5:$D$162,A14,'Все задачи'!$B$5:$B$162,"FL.ru")</x:f>
        <x:v>3</x:v>
      </x:c>
      <x:c r="E14" s="62" t="n">
        <x:f>B14/COUNTA('Все задачи'!$A$5:$A$162)</x:f>
        <x:v>0.0189873417721519</x:v>
      </x:c>
    </x:row>
    <x:row r="15">
      <x:c r="A15" s="56" t="str">
        <x:v>Контент и медиа</x:v>
      </x:c>
      <x:c r="B15" s="59" t="n">
        <x:f>COUNTIF('Все задачи'!$D$5:$D$162,A15)</x:f>
        <x:v>18</x:v>
      </x:c>
      <x:c r="C15" s="59" t="n">
        <x:f>COUNTIFS('Все задачи'!$D$5:$D$162,A15,'Все задачи'!$B$5:$B$162,"Upwork")</x:f>
        <x:v>6</x:v>
      </x:c>
      <x:c r="D15" s="59" t="n">
        <x:f>COUNTIFS('Все задачи'!$D$5:$D$162,A15,'Все задачи'!$B$5:$B$162,"FL.ru")</x:f>
        <x:v>12</x:v>
      </x:c>
      <x:c r="E15" s="62" t="n">
        <x:f>B15/COUNTA('Все задачи'!$A$5:$A$162)</x:f>
        <x:v>0.11392405063291139</x:v>
      </x:c>
    </x:row>
    <x:row r="16">
      <x:c r="A16" s="56" t="str">
        <x:v>Общие, слабые или off-core</x:v>
      </x:c>
      <x:c r="B16" s="59" t="n">
        <x:f>COUNTIF('Все задачи'!$D$5:$D$162,A16)</x:f>
        <x:v>6</x:v>
      </x:c>
      <x:c r="C16" s="59" t="n">
        <x:f>COUNTIFS('Все задачи'!$D$5:$D$162,A16,'Все задачи'!$B$5:$B$162,"Upwork")</x:f>
        <x:v>4</x:v>
      </x:c>
      <x:c r="D16" s="59" t="n">
        <x:f>COUNTIFS('Все задачи'!$D$5:$D$162,A16,'Все задачи'!$B$5:$B$162,"FL.ru")</x:f>
        <x:v>2</x:v>
      </x:c>
      <x:c r="E16" s="62" t="n">
        <x:f>B16/COUNTA('Все задачи'!$A$5:$A$162)</x:f>
        <x:v>0.0379746835443038</x:v>
      </x:c>
    </x:row>
    <x:row r="17">
      <x:c r="A17" s="56" t="str">
        <x:v>Риск / исключить</x:v>
      </x:c>
      <x:c r="B17" s="59" t="n">
        <x:f>COUNTIF('Все задачи'!$D$5:$D$162,A17)</x:f>
        <x:v>3</x:v>
      </x:c>
      <x:c r="C17" s="59" t="n">
        <x:f>COUNTIFS('Все задачи'!$D$5:$D$162,A17,'Все задачи'!$B$5:$B$162,"Upwork")</x:f>
        <x:v>0</x:v>
      </x:c>
      <x:c r="D17" s="59" t="n">
        <x:f>COUNTIFS('Все задачи'!$D$5:$D$162,A17,'Все задачи'!$B$5:$B$162,"FL.ru")</x:f>
        <x:v>3</x:v>
      </x:c>
      <x:c r="E17" s="62" t="n">
        <x:f>B17/COUNTA('Все задачи'!$A$5:$A$162)</x:f>
        <x:v>0.0189873417721519</x:v>
      </x:c>
    </x:row>
    <x:row r="18">
      <x:c r="A18" s="56" t="str">
        <x:v>Смежное</x:v>
      </x:c>
      <x:c r="B18" s="59" t="n">
        <x:f>COUNTIF('Все задачи'!$D$5:$D$162,A18)</x:f>
        <x:v>1</x:v>
      </x:c>
      <x:c r="C18" s="59" t="n">
        <x:f>COUNTIFS('Все задачи'!$D$5:$D$162,A18,'Все задачи'!$B$5:$B$162,"Upwork")</x:f>
        <x:v>0</x:v>
      </x:c>
      <x:c r="D18" s="59" t="n">
        <x:f>COUNTIFS('Все задачи'!$D$5:$D$162,A18,'Все задачи'!$B$5:$B$162,"FL.ru")</x:f>
        <x:v>1</x:v>
      </x:c>
      <x:c r="E18" s="62" t="n">
        <x:f>B18/COUNTA('Все задачи'!$A$5:$A$162)</x:f>
        <x:v>0.006329113924050633</x:v>
      </x:c>
    </x:row>
    <x:row r="19">
      <x:c r="A19" s="56" t="str">
        <x:v>Чат-боты, поддержка и CRM</x:v>
      </x:c>
      <x:c r="B19" s="59" t="n">
        <x:f>COUNTIF('Все задачи'!$D$5:$D$162,A19)</x:f>
        <x:v>15</x:v>
      </x:c>
      <x:c r="C19" s="59" t="n">
        <x:f>COUNTIFS('Все задачи'!$D$5:$D$162,A19,'Все задачи'!$B$5:$B$162,"Upwork")</x:f>
        <x:v>11</x:v>
      </x:c>
      <x:c r="D19" s="59" t="n">
        <x:f>COUNTIFS('Все задачи'!$D$5:$D$162,A19,'Все задачи'!$B$5:$B$162,"FL.ru")</x:f>
        <x:v>4</x:v>
      </x:c>
      <x:c r="E19" s="62" t="n">
        <x:f>B19/COUNTA('Все задачи'!$A$5:$A$162)</x:f>
        <x:v>0.0949367088607595</x:v>
      </x:c>
    </x:row>
    <x:row r="20">
      <x:c r="A20" s="57" t="str">
        <x:v>Человеческие операции</x:v>
      </x:c>
      <x:c r="B20" s="60" t="n">
        <x:f>COUNTIF('Все задачи'!$D$5:$D$162,A20)</x:f>
        <x:v>1</x:v>
      </x:c>
      <x:c r="C20" s="60" t="n">
        <x:f>COUNTIFS('Все задачи'!$D$5:$D$162,A20,'Все задачи'!$B$5:$B$162,"Upwork")</x:f>
        <x:v>0</x:v>
      </x:c>
      <x:c r="D20" s="60" t="n">
        <x:f>COUNTIFS('Все задачи'!$D$5:$D$162,A20,'Все задачи'!$B$5:$B$162,"FL.ru")</x:f>
        <x:v>1</x:v>
      </x:c>
      <x:c r="E20" s="63" t="n">
        <x:f>B20/COUNTA('Все задачи'!$A$5:$A$162)</x:f>
        <x:v>0.006329113924050633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12d80f8855694d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6" hidden="0" customWidth="1"/>
  </x:cols>
  <x:sheetData>
    <x:row r="1" ht="24" customHeight="1">
      <x:c r="A1" s="4" t="str">
        <x:v>Метод, шкала и ограничения</x:v>
      </x:c>
      <x:c r="B1" s="4" t="str">
        <x:v>Метод, шкала и ограничения</x:v>
      </x:c>
      <x:c r="C1" s="4" t="str">
        <x:v>Метод, шкала и ограничения</x:v>
      </x:c>
      <x:c r="D1" s="4" t="str">
        <x:v>Метод, шкала и ограничения</x:v>
      </x:c>
      <x:c r="E1" s="4" t="str">
        <x:v>Метод, шкала и ограничения</x:v>
      </x:c>
      <x:c r="F1" s="4" t="str">
        <x:v>Метод, шкала и ограничения</x:v>
      </x:c>
    </x:row>
    <x:row r="2" ht="24" customHeight="1">
      <x:c r="A2" s="4" t="str">
        <x:v>Метод, шкала и ограничения</x:v>
      </x:c>
      <x:c r="B2" s="4" t="str">
        <x:v>Метод, шкала и ограничения</x:v>
      </x:c>
      <x:c r="C2" s="4" t="str">
        <x:v>Метод, шкала и ограничения</x:v>
      </x:c>
      <x:c r="D2" s="4" t="str">
        <x:v>Метод, шкала и ограничения</x:v>
      </x:c>
      <x:c r="E2" s="4" t="str">
        <x:v>Метод, шкала и ограничения</x:v>
      </x:c>
      <x:c r="F2" s="4" t="str">
        <x:v>Метод, шкала и ограничения</x:v>
      </x:c>
    </x:row>
    <x:row r="3" ht="34" customHeight="1">
      <x:c r="A3" s="9" t="str">
        <x:v>Данные собраны 2026-07-28. Метч для Давида - общая редакционная оценка технического пересечения, переносимости в Kora, scope, proof, экономики и competition gaps; это не вероятность выигрыша.</x:v>
      </x:c>
      <x:c r="B3" s="9"/>
      <x:c r="C3" s="9"/>
      <x:c r="D3" s="9"/>
      <x:c r="E3" s="9"/>
      <x:c r="F3" s="9"/>
    </x:row>
    <x:row r="5">
      <x:c r="A5" s="48" t="str">
        <x:v>Поле</x:v>
      </x:c>
      <x:c r="B5" s="48" t="str">
        <x:v>Определение</x:v>
      </x:c>
    </x:row>
    <x:row r="6" ht="34" customHeight="1">
      <x:c r="A6" s="73" t="str">
        <x:v>Корпус</x:v>
      </x:c>
      <x:c r="B6" s="67" t="str">
        <x:v>100 уникальных Upwork карточек + 58 видимых карточек FL.ru.</x:v>
      </x:c>
    </x:row>
    <x:row r="7" ht="34" customHeight="1">
      <x:c r="A7" s="74" t="str">
        <x:v>Краткое описание</x:v>
      </x:c>
      <x:c r="B7" s="68" t="str">
        <x:v>Русское резюме видимой задачи без добавления неуказанного scope.</x:v>
      </x:c>
    </x:row>
    <x:row r="8" ht="34" customHeight="1">
      <x:c r="A8" s="74" t="str">
        <x:v>100%</x:v>
      </x:c>
      <x:c r="B8" s="68" t="str">
        <x:v>Только возможность без существенного технического, коммерческого, scope, доказательного или конкурентного пробела. В текущем корпусе таких строк нет.</x:v>
      </x:c>
    </x:row>
    <x:row r="9" ht="34" customHeight="1">
      <x:c r="A9" s="74" t="str">
        <x:v>95-99%</x:v>
      </x:c>
      <x:c r="B9" s="68" t="str">
        <x:v>Почти идеальная общая пригодность, но остаётся минимум один существенный hard gate.</x:v>
      </x:c>
    </x:row>
    <x:row r="10" ht="34" customHeight="1">
      <x:c r="A10" s="74" t="str">
        <x:v>90-94%</x:v>
      </x:c>
      <x:c r="B10" s="68" t="str">
        <x:v>Очень сильная общая пригодность и потенциально переиспользуемый Kora-паттерн.</x:v>
      </x:c>
    </x:row>
    <x:row r="11" ht="34" customHeight="1">
      <x:c r="A11" s="74" t="str">
        <x:v>80-89%</x:v>
      </x:c>
      <x:c r="B11" s="68" t="str">
        <x:v>Сильная общая пригодность, но заметен пробел в scope, портфеле, экономике, инструментарии или продуктовой переносимости.</x:v>
      </x:c>
    </x:row>
    <x:row r="12" ht="34" customHeight="1">
      <x:c r="A12" s="74" t="str">
        <x:v>70-79%</x:v>
      </x:c>
      <x:c r="B12" s="68" t="str">
        <x:v>Хороший частичный метч. Обычно нужен узкий sub-scope или это freelance bridge.</x:v>
      </x:c>
    </x:row>
    <x:row r="13" ht="34" customHeight="1">
      <x:c r="A13" s="74" t="str">
        <x:v>60-69%</x:v>
      </x:c>
      <x:c r="B13" s="68" t="str">
        <x:v>Частичное совпадение. Не приоритет без дополнительного сигнала.</x:v>
      </x:c>
    </x:row>
    <x:row r="14" ht="34" customHeight="1">
      <x:c r="A14" s="74" t="str">
        <x:v>0-59%</x:v>
      </x:c>
      <x:c r="B14" s="68" t="str">
        <x:v>Низкий, off-core, рискованный, нерелевантный или преимущественно контентный спрос.</x:v>
      </x:c>
    </x:row>
    <x:row r="15" ht="34" customHeight="1">
      <x:c r="A15" s="74" t="str">
        <x:v>Статус Upwork</x:v>
      </x:c>
      <x:c r="B15" s="68" t="str">
        <x:v>captured - recheck означает, что карточка была видна при сборе, но актуальность должна проверяться перед откликом.</x:v>
      </x:c>
    </x:row>
    <x:row r="16" ht="34" customHeight="1">
      <x:c r="A16" s="74" t="str">
        <x:v>Статус FL.ru</x:v>
      </x:c>
      <x:c r="B16" s="68" t="str">
        <x:v>open означает видимую открытую карточку при сборе; assigned означает «Исполнитель определён», а не доказанное завершение.</x:v>
      </x:c>
    </x:row>
    <x:row r="17" ht="34" customHeight="1">
      <x:c r="A17" s="74" t="str">
        <x:v>Главное ограничение</x:v>
      </x:c>
      <x:c r="B17" s="68" t="str">
        <x:v>Персонализированный Upwork Best Matches и одна категория FL.ru являются convenience sample, а не оценкой рынка или PMF. Точные проценты редакционные, поэтому интерпретировать нужно диапазоны, а не разницу в один-два пункта.</x:v>
      </x:c>
    </x:row>
    <x:row r="18" ht="34" customHeight="1">
      <x:c r="A18" s="74" t="str">
        <x:v>Внешние действия</x:v>
      </x:c>
      <x:c r="B18" s="68" t="str">
        <x:v>Отклики, сообщения, сохранения и расход Connects в рамках сбора не выполнялись.</x:v>
      </x:c>
    </x:row>
    <x:row r="19" ht="34" customHeight="1">
      <x:c r="A19" s="74" t="str">
        <x:v>Источник Upwork</x:v>
      </x:c>
      <x:c r="B19" s="68" t="str">
        <x:v>https://www.upwork.com/nx/find-work/best-matches</x:v>
      </x:c>
    </x:row>
    <x:row r="20" ht="34" customHeight="1">
      <x:c r="A20" s="75" t="str">
        <x:v>Источник FL.ru</x:v>
      </x:c>
      <x:c r="B20" s="69" t="str">
        <x:v>https://www.fl.ru/projects/category/ai-iskusstvenniy-intellekt/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ef008b9953334516"/>
  </x:tableParts>
</x:worksheet>
</file>