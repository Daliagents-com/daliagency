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utreach Queue" sheetId="1" state="visible" r:id="rId1"/>
    <sheet name="Dashboard" sheetId="2" state="visible" r:id="rId2"/>
    <sheet name="Learning Wave" sheetId="3" state="visible" r:id="rId3"/>
    <sheet name="Sources" sheetId="4" state="visible" r:id="rId4"/>
  </sheets>
  <definedNames/>
</workbook>
</file>

<file path=xl/styles.xml><?xml version="1.0" encoding="utf-8"?>
<styleSheet xmlns="http://schemas.openxmlformats.org/spreadsheetml/2006/main">
  <numFmts count="4">
    <numFmt numFmtId="164" formatCode="yyyy-mm-dd"/>
    <numFmt numFmtId="165" formatCode="$#,##0.00"/>
    <numFmt numFmtId="166" formatCode="0.0"/>
    <numFmt numFmtId="167" formatCode="0.0%"/>
  </numFmts>
  <fonts count="7">
    <font>
      <name val="Carlito"/>
      <sz val="11"/>
    </font>
    <font>
      <name val="Carlito"/>
      <b val="1"/>
      <color rgb="FFFFFDFC"/>
      <sz val="11"/>
    </font>
    <font>
      <name val="Carlito"/>
      <color rgb="FF6D625A"/>
      <sz val="11"/>
    </font>
    <font>
      <name val="Carlito"/>
      <color rgb="FF171411"/>
      <sz val="11"/>
    </font>
    <font>
      <name val="Carlito"/>
      <b val="1"/>
      <color rgb="FFA72621"/>
      <sz val="11"/>
    </font>
    <font>
      <name val="Carlito"/>
      <b val="1"/>
      <color rgb="FF28522B"/>
      <sz val="11"/>
    </font>
    <font>
      <name val="Carlito"/>
      <b val="1"/>
      <color rgb="FF171411"/>
      <sz val="11"/>
    </font>
  </fonts>
  <fills count="9">
    <fill>
      <patternFill/>
    </fill>
    <fill>
      <patternFill patternType="gray125"/>
    </fill>
    <fill>
      <patternFill patternType="solid">
        <fgColor rgb="FF171411"/>
      </patternFill>
    </fill>
    <fill>
      <patternFill patternType="solid">
        <fgColor rgb="FFF5EFE7"/>
      </patternFill>
    </fill>
    <fill>
      <patternFill patternType="solid">
        <fgColor rgb="FFFFF0C7"/>
      </patternFill>
    </fill>
    <fill>
      <patternFill patternType="solid">
        <fgColor rgb="FFFFFDFC"/>
      </patternFill>
    </fill>
    <fill>
      <patternFill patternType="solid">
        <fgColor rgb="FFFAD9D6"/>
      </patternFill>
    </fill>
    <fill>
      <patternFill patternType="solid">
        <fgColor rgb="FFE8DED2"/>
      </patternFill>
    </fill>
    <fill>
      <patternFill patternType="solid">
        <fgColor rgb="FFE43A32"/>
      </patternFill>
    </fill>
  </fills>
  <borders count="44">
    <border/>
    <border/>
    <border>
      <left style="thin">
        <color rgb="FF171411"/>
      </left>
      <top style="thin">
        <color rgb="FF171411"/>
      </top>
      <bottom style="thin">
        <color rgb="FF171411"/>
      </bottom>
    </border>
    <border>
      <top style="thin">
        <color rgb="FF171411"/>
      </top>
      <bottom style="thin">
        <color rgb="FF171411"/>
      </bottom>
    </border>
    <border>
      <right style="thin">
        <color rgb="FF171411"/>
      </right>
      <top style="thin">
        <color rgb="FF171411"/>
      </top>
      <bottom style="thin">
        <color rgb="FF171411"/>
      </bottom>
    </border>
    <border>
      <left style="thin">
        <color rgb="FF171411"/>
      </left>
      <top style="thin">
        <color rgb="FF171411"/>
      </top>
      <bottom style="thin">
        <color rgb="FF171411"/>
      </bottom>
    </border>
    <border>
      <top style="thin">
        <color rgb="FF171411"/>
      </top>
      <bottom style="thin">
        <color rgb="FF171411"/>
      </bottom>
    </border>
    <border>
      <right style="thin">
        <color rgb="FF171411"/>
      </right>
      <top style="thin">
        <color rgb="FF171411"/>
      </top>
      <bottom style="thin">
        <color rgb="FF171411"/>
      </bottom>
    </border>
    <border>
      <bottom style="thin">
        <color rgb="FFD8CEC2"/>
      </bottom>
    </border>
    <border>
      <top style="thin">
        <color rgb="FFD8CEC2"/>
      </top>
      <bottom style="thin">
        <color rgb="FFD8CEC2"/>
      </bottom>
    </border>
    <border>
      <bottom style="thin">
        <color rgb="FFD8CEC2"/>
      </bottom>
    </border>
    <border>
      <top style="thin">
        <color rgb="FFD8CEC2"/>
      </top>
      <bottom style="thin">
        <color rgb="FFD8CEC2"/>
      </bottom>
    </border>
    <border>
      <left style="thin">
        <color rgb="FFD8CEC2"/>
      </left>
      <top style="thin">
        <color rgb="FFD8CEC2"/>
      </top>
    </border>
    <border>
      <right style="thin">
        <color rgb="FFD8CEC2"/>
      </right>
      <top style="thin">
        <color rgb="FFD8CEC2"/>
      </top>
    </border>
    <border>
      <left style="thin">
        <color rgb="FFD8CEC2"/>
      </left>
    </border>
    <border>
      <right style="thin">
        <color rgb="FFD8CEC2"/>
      </right>
    </border>
    <border>
      <left style="thin">
        <color rgb="FFD8CEC2"/>
      </left>
      <bottom style="thin">
        <color rgb="FFD8CEC2"/>
      </bottom>
    </border>
    <border>
      <right style="thin">
        <color rgb="FFD8CEC2"/>
      </right>
      <bottom style="thin">
        <color rgb="FFD8CEC2"/>
      </bottom>
    </border>
    <border>
      <left style="thin">
        <color rgb="FFD8CEC2"/>
      </left>
      <top style="thin">
        <color rgb="FFD8CEC2"/>
      </top>
    </border>
    <border>
      <right style="thin">
        <color rgb="FFD8CEC2"/>
      </right>
      <top style="thin">
        <color rgb="FFD8CEC2"/>
      </top>
    </border>
    <border>
      <left style="thin">
        <color rgb="FFD8CEC2"/>
      </left>
    </border>
    <border>
      <right style="thin">
        <color rgb="FFD8CEC2"/>
      </right>
    </border>
    <border>
      <left style="thin">
        <color rgb="FFD8CEC2"/>
      </left>
      <bottom style="thin">
        <color rgb="FFD8CEC2"/>
      </bottom>
    </border>
    <border>
      <right style="thin">
        <color rgb="FFD8CEC2"/>
      </right>
      <bottom style="thin">
        <color rgb="FFD8CEC2"/>
      </bottom>
    </border>
    <border>
      <left style="thin">
        <color rgb="FFE43A32"/>
      </left>
      <top style="thin">
        <color rgb="FFE43A32"/>
      </top>
    </border>
    <border>
      <top style="thin">
        <color rgb="FFE43A32"/>
      </top>
    </border>
    <border>
      <right style="thin">
        <color rgb="FFE43A32"/>
      </right>
      <top style="thin">
        <color rgb="FFE43A32"/>
      </top>
    </border>
    <border>
      <left style="thin">
        <color rgb="FFE43A32"/>
      </left>
      <bottom style="thin">
        <color rgb="FFE43A32"/>
      </bottom>
    </border>
    <border>
      <bottom style="thin">
        <color rgb="FFE43A32"/>
      </bottom>
    </border>
    <border>
      <right style="thin">
        <color rgb="FFE43A32"/>
      </right>
      <bottom style="thin">
        <color rgb="FFE43A32"/>
      </bottom>
    </border>
    <border>
      <left style="thin">
        <color rgb="FFE43A32"/>
      </left>
      <top style="thin">
        <color rgb="FFE43A32"/>
      </top>
    </border>
    <border>
      <top style="thin">
        <color rgb="FFE43A32"/>
      </top>
    </border>
    <border>
      <right style="thin">
        <color rgb="FFE43A32"/>
      </right>
      <top style="thin">
        <color rgb="FFE43A32"/>
      </top>
    </border>
    <border>
      <left style="thin">
        <color rgb="FFE43A32"/>
      </left>
      <bottom style="thin">
        <color rgb="FFE43A32"/>
      </bottom>
    </border>
    <border>
      <bottom style="thin">
        <color rgb="FFE43A32"/>
      </bottom>
    </border>
    <border>
      <right style="thin">
        <color rgb="FFE43A32"/>
      </right>
      <bottom style="thin">
        <color rgb="FFE43A32"/>
      </bottom>
    </border>
    <border>
      <top style="thin">
        <color rgb="FFD8CEC2"/>
      </top>
    </border>
    <border>
      <top style="thin">
        <color rgb="FFD8CEC2"/>
      </top>
    </border>
    <border>
      <left style="thin">
        <color rgb="FFD8CEC2"/>
      </left>
      <right style="thin">
        <color rgb="FFD8CEC2"/>
      </right>
      <top style="thin">
        <color rgb="FFD8CEC2"/>
      </top>
    </border>
    <border>
      <left style="thin">
        <color rgb="FFD8CEC2"/>
      </left>
      <right style="thin">
        <color rgb="FFD8CEC2"/>
      </right>
      <bottom style="thin">
        <color rgb="FFD8CEC2"/>
      </bottom>
    </border>
    <border>
      <left style="thin">
        <color rgb="FFE43A32"/>
      </left>
      <right style="thin">
        <color rgb="FFE43A32"/>
      </right>
      <top style="thin">
        <color rgb="FFE43A32"/>
      </top>
      <bottom style="thin">
        <color rgb="FFE43A32"/>
      </bottom>
    </border>
    <border>
      <left style="thin">
        <color rgb="FFE43A32"/>
      </left>
    </border>
    <border>
      <right style="thin">
        <color rgb="FFE43A32"/>
      </right>
    </border>
    <border>
      <left style="thin">
        <color rgb="FFD8CEC2"/>
      </left>
      <right style="thin">
        <color rgb="FFD8CEC2"/>
      </right>
      <top style="thin">
        <color rgb="FFD8CEC2"/>
      </top>
      <bottom style="thin">
        <color rgb="FFD8CEC2"/>
      </bottom>
    </border>
  </borders>
  <cellStyleXfs count="1">
    <xf numFmtId="0" fontId="0" fillId="0" borderId="1"/>
  </cellStyleXfs>
  <cellXfs count="429">
    <xf numFmtId="0" fontId="0" fillId="0" borderId="0" pivotButton="0" quotePrefix="0" xfId="0"/>
    <xf numFmtId="0" fontId="0" fillId="0" borderId="1" pivotButton="0" quotePrefix="0" xfId="0"/>
    <xf numFmtId="0" fontId="0" fillId="2" borderId="0" pivotButton="0" quotePrefix="0" xfId="0"/>
    <xf numFmtId="0" fontId="0" fillId="2" borderId="1" pivotButton="0" quotePrefix="0" xfId="0"/>
    <xf numFmtId="0" fontId="1" fillId="2" borderId="0" pivotButton="0" quotePrefix="0" xfId="0"/>
    <xf numFmtId="0" fontId="1" fillId="2" borderId="1" pivotButton="0" quotePrefix="0" xfId="0"/>
    <xf numFmtId="0" fontId="1" fillId="2" borderId="0" applyAlignment="1" pivotButton="0" quotePrefix="0" xfId="0">
      <alignment horizontal="left"/>
    </xf>
    <xf numFmtId="0" fontId="1" fillId="2" borderId="1" applyAlignment="1" pivotButton="0" quotePrefix="0" xfId="0">
      <alignment horizontal="left"/>
    </xf>
    <xf numFmtId="0" fontId="1" fillId="2" borderId="0" applyAlignment="1" pivotButton="0" quotePrefix="0" xfId="0">
      <alignment horizontal="left" vertical="center"/>
    </xf>
    <xf numFmtId="0" fontId="1" fillId="2" borderId="1" applyAlignment="1" pivotButton="0" quotePrefix="0" xfId="0">
      <alignment horizontal="left" vertical="center"/>
    </xf>
    <xf numFmtId="0" fontId="0" fillId="3" borderId="0" pivotButton="0" quotePrefix="0" xfId="0"/>
    <xf numFmtId="0" fontId="0" fillId="3" borderId="1" pivotButton="0" quotePrefix="0" xfId="0"/>
    <xf numFmtId="0" fontId="2" fillId="3" borderId="0" pivotButton="0" quotePrefix="0" xfId="0"/>
    <xf numFmtId="0" fontId="2" fillId="3" borderId="1" pivotButton="0" quotePrefix="0" xfId="0"/>
    <xf numFmtId="0" fontId="2" fillId="3" borderId="0" applyAlignment="1" pivotButton="0" quotePrefix="0" xfId="0">
      <alignment wrapText="1"/>
    </xf>
    <xf numFmtId="0" fontId="2" fillId="3" borderId="1" applyAlignment="1" pivotButton="0" quotePrefix="0" xfId="0">
      <alignment wrapText="1"/>
    </xf>
    <xf numFmtId="0" fontId="2" fillId="3" borderId="0" applyAlignment="1" pivotButton="0" quotePrefix="0" xfId="0">
      <alignment vertical="center" wrapText="1"/>
    </xf>
    <xf numFmtId="0" fontId="2" fillId="3" borderId="1" applyAlignment="1" pivotButton="0" quotePrefix="0" xfId="0">
      <alignment vertical="center" wrapText="1"/>
    </xf>
    <xf numFmtId="0" fontId="0" fillId="4" borderId="0" pivotButton="0" quotePrefix="0" xfId="0"/>
    <xf numFmtId="0" fontId="0" fillId="4" borderId="1" pivotButton="0" quotePrefix="0" xfId="0"/>
    <xf numFmtId="0" fontId="3" fillId="4" borderId="0" pivotButton="0" quotePrefix="0" xfId="0"/>
    <xf numFmtId="0" fontId="3" fillId="4" borderId="1" pivotButton="0" quotePrefix="0" xfId="0"/>
    <xf numFmtId="0" fontId="3" fillId="4" borderId="0" applyAlignment="1" pivotButton="0" quotePrefix="0" xfId="0">
      <alignment wrapText="1"/>
    </xf>
    <xf numFmtId="0" fontId="3" fillId="4" borderId="1" applyAlignment="1" pivotButton="0" quotePrefix="0" xfId="0">
      <alignment wrapText="1"/>
    </xf>
    <xf numFmtId="0" fontId="3" fillId="4" borderId="0" applyAlignment="1" pivotButton="0" quotePrefix="0" xfId="0">
      <alignment vertical="center" wrapText="1"/>
    </xf>
    <xf numFmtId="0" fontId="3" fillId="4" borderId="1" applyAlignment="1" pivotButton="0" quotePrefix="0" xfId="0">
      <alignment vertical="center" wrapText="1"/>
    </xf>
    <xf numFmtId="0" fontId="1" fillId="2" borderId="2" pivotButton="0" quotePrefix="0" xfId="0"/>
    <xf numFmtId="0" fontId="1" fillId="2" borderId="3" pivotButton="0" quotePrefix="0" xfId="0"/>
    <xf numFmtId="0" fontId="1" fillId="2" borderId="4" pivotButton="0" quotePrefix="0" xfId="0"/>
    <xf numFmtId="0" fontId="1" fillId="2" borderId="5" pivotButton="0" quotePrefix="0" xfId="0"/>
    <xf numFmtId="0" fontId="1" fillId="2" borderId="6" pivotButton="0" quotePrefix="0" xfId="0"/>
    <xf numFmtId="0" fontId="1" fillId="2" borderId="7" pivotButton="0" quotePrefix="0" xfId="0"/>
    <xf numFmtId="0" fontId="1" fillId="2" borderId="2" applyAlignment="1" pivotButton="0" quotePrefix="0" xfId="0">
      <alignment wrapText="1"/>
    </xf>
    <xf numFmtId="0" fontId="1" fillId="2" borderId="3" applyAlignment="1" pivotButton="0" quotePrefix="0" xfId="0">
      <alignment wrapText="1"/>
    </xf>
    <xf numFmtId="0" fontId="1" fillId="2" borderId="4" applyAlignment="1" pivotButton="0" quotePrefix="0" xfId="0">
      <alignment wrapText="1"/>
    </xf>
    <xf numFmtId="0" fontId="1" fillId="2" borderId="5" applyAlignment="1" pivotButton="0" quotePrefix="0" xfId="0">
      <alignment wrapText="1"/>
    </xf>
    <xf numFmtId="0" fontId="1" fillId="2" borderId="6" applyAlignment="1" pivotButton="0" quotePrefix="0" xfId="0">
      <alignment wrapText="1"/>
    </xf>
    <xf numFmtId="0" fontId="1" fillId="2" borderId="7" applyAlignment="1" pivotButton="0" quotePrefix="0" xfId="0">
      <alignment wrapText="1"/>
    </xf>
    <xf numFmtId="0" fontId="1" fillId="2" borderId="2" applyAlignment="1" pivotButton="0" quotePrefix="0" xfId="0">
      <alignment horizontal="left" wrapText="1"/>
    </xf>
    <xf numFmtId="0" fontId="1" fillId="2" borderId="3" applyAlignment="1" pivotButton="0" quotePrefix="0" xfId="0">
      <alignment horizontal="left" wrapText="1"/>
    </xf>
    <xf numFmtId="0" fontId="1" fillId="2" borderId="4" applyAlignment="1" pivotButton="0" quotePrefix="0" xfId="0">
      <alignment horizontal="left" wrapText="1"/>
    </xf>
    <xf numFmtId="0" fontId="1" fillId="2" borderId="5" applyAlignment="1" pivotButton="0" quotePrefix="0" xfId="0">
      <alignment horizontal="left" wrapText="1"/>
    </xf>
    <xf numFmtId="0" fontId="1" fillId="2" borderId="6" applyAlignment="1" pivotButton="0" quotePrefix="0" xfId="0">
      <alignment horizontal="left" wrapText="1"/>
    </xf>
    <xf numFmtId="0" fontId="1" fillId="2" borderId="7" applyAlignment="1" pivotButton="0" quotePrefix="0" xfId="0">
      <alignment horizontal="left" wrapText="1"/>
    </xf>
    <xf numFmtId="0" fontId="1" fillId="2" borderId="2" applyAlignment="1" pivotButton="0" quotePrefix="0" xfId="0">
      <alignment horizontal="left" vertical="center" wrapText="1"/>
    </xf>
    <xf numFmtId="0" fontId="1" fillId="2" borderId="3" applyAlignment="1" pivotButton="0" quotePrefix="0" xfId="0">
      <alignment horizontal="left" vertical="center" wrapText="1"/>
    </xf>
    <xf numFmtId="0" fontId="1" fillId="2" borderId="4" applyAlignment="1" pivotButton="0" quotePrefix="0" xfId="0">
      <alignment horizontal="left" vertical="center" wrapText="1"/>
    </xf>
    <xf numFmtId="0" fontId="1" fillId="2" borderId="5" applyAlignment="1" pivotButton="0" quotePrefix="0" xfId="0">
      <alignment horizontal="left" vertical="center" wrapText="1"/>
    </xf>
    <xf numFmtId="0" fontId="1" fillId="2" borderId="6" applyAlignment="1" pivotButton="0" quotePrefix="0" xfId="0">
      <alignment horizontal="left" vertical="center" wrapText="1"/>
    </xf>
    <xf numFmtId="0" fontId="1" fillId="2" borderId="7" applyAlignment="1" pivotButton="0" quotePrefix="0" xfId="0">
      <alignment horizontal="left" vertical="center" wrapText="1"/>
    </xf>
    <xf numFmtId="0" fontId="0" fillId="5" borderId="0" pivotButton="0" quotePrefix="0" xfId="0"/>
    <xf numFmtId="0" fontId="0" fillId="5" borderId="1" pivotButton="0" quotePrefix="0" xfId="0"/>
    <xf numFmtId="0" fontId="3" fillId="5" borderId="0" pivotButton="0" quotePrefix="0" xfId="0"/>
    <xf numFmtId="0" fontId="3" fillId="5" borderId="1" pivotButton="0" quotePrefix="0" xfId="0"/>
    <xf numFmtId="0" fontId="3" fillId="5" borderId="8" pivotButton="0" quotePrefix="0" xfId="0"/>
    <xf numFmtId="0" fontId="3" fillId="5" borderId="9" pivotButton="0" quotePrefix="0" xfId="0"/>
    <xf numFmtId="0" fontId="3" fillId="5" borderId="10" pivotButton="0" quotePrefix="0" xfId="0"/>
    <xf numFmtId="0" fontId="3" fillId="5" borderId="11" pivotButton="0" quotePrefix="0" xfId="0"/>
    <xf numFmtId="0" fontId="3" fillId="5" borderId="8" applyAlignment="1" pivotButton="0" quotePrefix="0" xfId="0">
      <alignment wrapText="1"/>
    </xf>
    <xf numFmtId="0" fontId="3" fillId="5" borderId="9" applyAlignment="1" pivotButton="0" quotePrefix="0" xfId="0">
      <alignment wrapText="1"/>
    </xf>
    <xf numFmtId="0" fontId="3" fillId="5" borderId="10" applyAlignment="1" pivotButton="0" quotePrefix="0" xfId="0">
      <alignment wrapText="1"/>
    </xf>
    <xf numFmtId="0" fontId="3" fillId="5" borderId="11" applyAlignment="1" pivotButton="0" quotePrefix="0" xfId="0">
      <alignment wrapText="1"/>
    </xf>
    <xf numFmtId="0" fontId="3" fillId="5" borderId="8" applyAlignment="1" pivotButton="0" quotePrefix="0" xfId="0">
      <alignment vertical="top" wrapText="1"/>
    </xf>
    <xf numFmtId="0" fontId="3" fillId="5" borderId="9" applyAlignment="1" pivotButton="0" quotePrefix="0" xfId="0">
      <alignment vertical="top" wrapText="1"/>
    </xf>
    <xf numFmtId="0" fontId="3" fillId="5" borderId="10" applyAlignment="1" pivotButton="0" quotePrefix="0" xfId="0">
      <alignment vertical="top" wrapText="1"/>
    </xf>
    <xf numFmtId="0" fontId="3" fillId="5" borderId="11" applyAlignment="1" pivotButton="0" quotePrefix="0" xfId="0">
      <alignment vertical="top" wrapText="1"/>
    </xf>
    <xf numFmtId="0" fontId="3" fillId="6" borderId="8" applyAlignment="1" pivotButton="0" quotePrefix="0" xfId="0">
      <alignment vertical="top" wrapText="1"/>
    </xf>
    <xf numFmtId="0" fontId="3" fillId="6" borderId="9" applyAlignment="1" pivotButton="0" quotePrefix="0" xfId="0">
      <alignment vertical="top" wrapText="1"/>
    </xf>
    <xf numFmtId="0" fontId="3" fillId="6" borderId="10" applyAlignment="1" pivotButton="0" quotePrefix="0" xfId="0">
      <alignment vertical="top" wrapText="1"/>
    </xf>
    <xf numFmtId="0" fontId="3" fillId="6" borderId="11" applyAlignment="1" pivotButton="0" quotePrefix="0" xfId="0">
      <alignment vertical="top" wrapText="1"/>
    </xf>
    <xf numFmtId="0" fontId="4" fillId="6" borderId="8" applyAlignment="1" pivotButton="0" quotePrefix="0" xfId="0">
      <alignment vertical="top" wrapText="1"/>
    </xf>
    <xf numFmtId="0" fontId="4" fillId="6" borderId="9" applyAlignment="1" pivotButton="0" quotePrefix="0" xfId="0">
      <alignment vertical="top" wrapText="1"/>
    </xf>
    <xf numFmtId="0" fontId="4" fillId="6" borderId="10" applyAlignment="1" pivotButton="0" quotePrefix="0" xfId="0">
      <alignment vertical="top" wrapText="1"/>
    </xf>
    <xf numFmtId="0" fontId="4" fillId="6" borderId="11" applyAlignment="1" pivotButton="0" quotePrefix="0" xfId="0">
      <alignment vertical="top" wrapText="1"/>
    </xf>
    <xf numFmtId="0" fontId="4" fillId="6" borderId="8" applyAlignment="1" pivotButton="0" quotePrefix="0" xfId="0">
      <alignment horizontal="center" vertical="top" wrapText="1"/>
    </xf>
    <xf numFmtId="0" fontId="4" fillId="6" borderId="9" applyAlignment="1" pivotButton="0" quotePrefix="0" xfId="0">
      <alignment horizontal="center" vertical="top" wrapText="1"/>
    </xf>
    <xf numFmtId="0" fontId="4" fillId="6" borderId="10" applyAlignment="1" pivotButton="0" quotePrefix="0" xfId="0">
      <alignment horizontal="center" vertical="top" wrapText="1"/>
    </xf>
    <xf numFmtId="0" fontId="4" fillId="6" borderId="11" applyAlignment="1" pivotButton="0" quotePrefix="0" xfId="0">
      <alignment horizontal="center" vertical="top" wrapText="1"/>
    </xf>
    <xf numFmtId="0" fontId="4" fillId="6" borderId="8" applyAlignment="1" pivotButton="0" quotePrefix="0" xfId="0">
      <alignment horizontal="center" vertical="center" wrapText="1"/>
    </xf>
    <xf numFmtId="0" fontId="4" fillId="6" borderId="9" applyAlignment="1" pivotButton="0" quotePrefix="0" xfId="0">
      <alignment horizontal="center" vertical="center" wrapText="1"/>
    </xf>
    <xf numFmtId="0" fontId="4" fillId="6" borderId="10" applyAlignment="1" pivotButton="0" quotePrefix="0" xfId="0">
      <alignment horizontal="center" vertical="center" wrapText="1"/>
    </xf>
    <xf numFmtId="0" fontId="4" fillId="6" borderId="11" applyAlignment="1" pivotButton="0" quotePrefix="0" xfId="0">
      <alignment horizontal="center" vertical="center" wrapText="1"/>
    </xf>
    <xf numFmtId="1" fontId="3" fillId="5" borderId="8" applyAlignment="1" pivotButton="0" quotePrefix="0" xfId="0">
      <alignment vertical="top" wrapText="1"/>
    </xf>
    <xf numFmtId="1" fontId="3" fillId="5" borderId="9" applyAlignment="1" pivotButton="0" quotePrefix="0" xfId="0">
      <alignment vertical="top" wrapText="1"/>
    </xf>
    <xf numFmtId="1" fontId="3" fillId="5" borderId="10" applyAlignment="1" pivotButton="0" quotePrefix="0" xfId="0">
      <alignment vertical="top" wrapText="1"/>
    </xf>
    <xf numFmtId="1" fontId="3" fillId="5" borderId="11" applyAlignment="1" pivotButton="0" quotePrefix="0" xfId="0">
      <alignment vertical="top" wrapText="1"/>
    </xf>
    <xf numFmtId="1" fontId="3" fillId="5" borderId="8" applyAlignment="1" pivotButton="0" quotePrefix="0" xfId="0">
      <alignment horizontal="center" vertical="top" wrapText="1"/>
    </xf>
    <xf numFmtId="1" fontId="3" fillId="5" borderId="9" applyAlignment="1" pivotButton="0" quotePrefix="0" xfId="0">
      <alignment horizontal="center" vertical="top" wrapText="1"/>
    </xf>
    <xf numFmtId="1" fontId="3" fillId="5" borderId="10" applyAlignment="1" pivotButton="0" quotePrefix="0" xfId="0">
      <alignment horizontal="center" vertical="top" wrapText="1"/>
    </xf>
    <xf numFmtId="1" fontId="3" fillId="5" borderId="11" applyAlignment="1" pivotButton="0" quotePrefix="0" xfId="0">
      <alignment horizontal="center" vertical="top" wrapText="1"/>
    </xf>
    <xf numFmtId="1" fontId="3" fillId="5" borderId="8" applyAlignment="1" pivotButton="0" quotePrefix="0" xfId="0">
      <alignment horizontal="center" vertical="center" wrapText="1"/>
    </xf>
    <xf numFmtId="1" fontId="3" fillId="5" borderId="9" applyAlignment="1" pivotButton="0" quotePrefix="0" xfId="0">
      <alignment horizontal="center" vertical="center" wrapText="1"/>
    </xf>
    <xf numFmtId="1" fontId="3" fillId="5" borderId="10" applyAlignment="1" pivotButton="0" quotePrefix="0" xfId="0">
      <alignment horizontal="center" vertical="center" wrapText="1"/>
    </xf>
    <xf numFmtId="1" fontId="3" fillId="5" borderId="11" applyAlignment="1" pivotButton="0" quotePrefix="0" xfId="0">
      <alignment horizontal="center" vertical="center" wrapText="1"/>
    </xf>
    <xf numFmtId="0" fontId="3" fillId="5" borderId="8" applyAlignment="1" pivotButton="0" quotePrefix="0" xfId="0">
      <alignment vertical="center" wrapText="1"/>
    </xf>
    <xf numFmtId="0" fontId="3" fillId="5" borderId="9" applyAlignment="1" pivotButton="0" quotePrefix="0" xfId="0">
      <alignment vertical="center" wrapText="1"/>
    </xf>
    <xf numFmtId="0" fontId="3" fillId="5" borderId="10" applyAlignment="1" pivotButton="0" quotePrefix="0" xfId="0">
      <alignment vertical="center" wrapText="1"/>
    </xf>
    <xf numFmtId="0" fontId="3" fillId="5" borderId="11" applyAlignment="1" pivotButton="0" quotePrefix="0" xfId="0">
      <alignment vertical="center" wrapText="1"/>
    </xf>
    <xf numFmtId="0" fontId="3" fillId="4" borderId="8" applyAlignment="1" pivotButton="0" quotePrefix="0" xfId="0">
      <alignment vertical="center" wrapText="1"/>
    </xf>
    <xf numFmtId="0" fontId="3" fillId="4" borderId="9" applyAlignment="1" pivotButton="0" quotePrefix="0" xfId="0">
      <alignment vertical="center" wrapText="1"/>
    </xf>
    <xf numFmtId="0" fontId="3" fillId="4" borderId="10" applyAlignment="1" pivotButton="0" quotePrefix="0" xfId="0">
      <alignment vertical="center" wrapText="1"/>
    </xf>
    <xf numFmtId="0" fontId="3" fillId="4" borderId="11" applyAlignment="1" pivotButton="0" quotePrefix="0" xfId="0">
      <alignment vertical="center" wrapText="1"/>
    </xf>
    <xf numFmtId="0" fontId="3" fillId="4" borderId="8" applyAlignment="1" pivotButton="0" quotePrefix="0" xfId="0">
      <alignment vertical="top" wrapText="1"/>
    </xf>
    <xf numFmtId="0" fontId="3" fillId="4" borderId="9" applyAlignment="1" pivotButton="0" quotePrefix="0" xfId="0">
      <alignment vertical="top" wrapText="1"/>
    </xf>
    <xf numFmtId="0" fontId="3" fillId="4" borderId="10" applyAlignment="1" pivotButton="0" quotePrefix="0" xfId="0">
      <alignment vertical="top" wrapText="1"/>
    </xf>
    <xf numFmtId="0" fontId="3" fillId="4" borderId="11" applyAlignment="1" pivotButton="0" quotePrefix="0" xfId="0">
      <alignment vertical="top" wrapText="1"/>
    </xf>
    <xf numFmtId="0" fontId="3" fillId="3" borderId="8" applyAlignment="1" pivotButton="0" quotePrefix="0" xfId="0">
      <alignment vertical="top" wrapText="1"/>
    </xf>
    <xf numFmtId="0" fontId="3" fillId="3" borderId="9" applyAlignment="1" pivotButton="0" quotePrefix="0" xfId="0">
      <alignment vertical="top" wrapText="1"/>
    </xf>
    <xf numFmtId="0" fontId="3" fillId="3" borderId="10" applyAlignment="1" pivotButton="0" quotePrefix="0" xfId="0">
      <alignment vertical="top" wrapText="1"/>
    </xf>
    <xf numFmtId="0" fontId="3" fillId="3" borderId="11" applyAlignment="1" pivotButton="0" quotePrefix="0" xfId="0">
      <alignment vertical="top" wrapText="1"/>
    </xf>
    <xf numFmtId="0" fontId="4" fillId="3" borderId="8" applyAlignment="1" pivotButton="0" quotePrefix="0" xfId="0">
      <alignment vertical="top" wrapText="1"/>
    </xf>
    <xf numFmtId="0" fontId="4" fillId="3" borderId="9" applyAlignment="1" pivotButton="0" quotePrefix="0" xfId="0">
      <alignment vertical="top" wrapText="1"/>
    </xf>
    <xf numFmtId="0" fontId="4" fillId="3" borderId="10" applyAlignment="1" pivotButton="0" quotePrefix="0" xfId="0">
      <alignment vertical="top" wrapText="1"/>
    </xf>
    <xf numFmtId="0" fontId="4" fillId="3" borderId="11" applyAlignment="1" pivotButton="0" quotePrefix="0" xfId="0">
      <alignment vertical="top" wrapText="1"/>
    </xf>
    <xf numFmtId="0" fontId="4" fillId="3" borderId="8" applyAlignment="1" pivotButton="0" quotePrefix="0" xfId="0">
      <alignment horizontal="center" vertical="top" wrapText="1"/>
    </xf>
    <xf numFmtId="0" fontId="4" fillId="3" borderId="9" applyAlignment="1" pivotButton="0" quotePrefix="0" xfId="0">
      <alignment horizontal="center" vertical="top" wrapText="1"/>
    </xf>
    <xf numFmtId="0" fontId="4" fillId="3" borderId="10" applyAlignment="1" pivotButton="0" quotePrefix="0" xfId="0">
      <alignment horizontal="center" vertical="top" wrapText="1"/>
    </xf>
    <xf numFmtId="0" fontId="4" fillId="3" borderId="11" applyAlignment="1" pivotButton="0" quotePrefix="0" xfId="0">
      <alignment horizontal="center" vertical="top" wrapText="1"/>
    </xf>
    <xf numFmtId="0" fontId="4" fillId="3" borderId="8" applyAlignment="1" pivotButton="0" quotePrefix="0" xfId="0">
      <alignment horizontal="center" vertical="center" wrapText="1"/>
    </xf>
    <xf numFmtId="0" fontId="4" fillId="3" borderId="9" applyAlignment="1" pivotButton="0" quotePrefix="0" xfId="0">
      <alignment horizontal="center" vertical="center" wrapText="1"/>
    </xf>
    <xf numFmtId="0" fontId="4" fillId="3" borderId="10" applyAlignment="1" pivotButton="0" quotePrefix="0" xfId="0">
      <alignment horizontal="center" vertical="center" wrapText="1"/>
    </xf>
    <xf numFmtId="0" fontId="4" fillId="3" borderId="11" applyAlignment="1" pivotButton="0" quotePrefix="0" xfId="0">
      <alignment horizontal="center" vertical="center" wrapText="1"/>
    </xf>
    <xf numFmtId="0" fontId="3" fillId="3" borderId="8" applyAlignment="1" pivotButton="0" quotePrefix="0" xfId="0">
      <alignment vertical="center" wrapText="1"/>
    </xf>
    <xf numFmtId="0" fontId="3" fillId="3" borderId="9" applyAlignment="1" pivotButton="0" quotePrefix="0" xfId="0">
      <alignment vertical="center" wrapText="1"/>
    </xf>
    <xf numFmtId="0" fontId="3" fillId="3" borderId="10" applyAlignment="1" pivotButton="0" quotePrefix="0" xfId="0">
      <alignment vertical="center" wrapText="1"/>
    </xf>
    <xf numFmtId="0" fontId="3" fillId="3" borderId="11" applyAlignment="1" pivotButton="0" quotePrefix="0" xfId="0">
      <alignment vertical="center" wrapText="1"/>
    </xf>
    <xf numFmtId="0" fontId="3" fillId="3" borderId="8" applyAlignment="1" pivotButton="0" quotePrefix="0" xfId="0">
      <alignment horizontal="center" vertical="center" wrapText="1"/>
    </xf>
    <xf numFmtId="0" fontId="3" fillId="3" borderId="9" applyAlignment="1" pivotButton="0" quotePrefix="0" xfId="0">
      <alignment horizontal="center" vertical="center" wrapText="1"/>
    </xf>
    <xf numFmtId="0" fontId="3" fillId="3" borderId="10" applyAlignment="1" pivotButton="0" quotePrefix="0" xfId="0">
      <alignment horizontal="center" vertical="center" wrapText="1"/>
    </xf>
    <xf numFmtId="0" fontId="3" fillId="3" borderId="11" applyAlignment="1" pivotButton="0" quotePrefix="0" xfId="0">
      <alignment horizontal="center" vertical="center" wrapText="1"/>
    </xf>
    <xf numFmtId="0" fontId="5" fillId="3" borderId="8" applyAlignment="1" pivotButton="0" quotePrefix="0" xfId="0">
      <alignment vertical="top" wrapText="1"/>
    </xf>
    <xf numFmtId="0" fontId="5" fillId="3" borderId="9" applyAlignment="1" pivotButton="0" quotePrefix="0" xfId="0">
      <alignment vertical="top" wrapText="1"/>
    </xf>
    <xf numFmtId="0" fontId="5" fillId="3" borderId="10" applyAlignment="1" pivotButton="0" quotePrefix="0" xfId="0">
      <alignment vertical="top" wrapText="1"/>
    </xf>
    <xf numFmtId="0" fontId="5" fillId="3" borderId="11" applyAlignment="1" pivotButton="0" quotePrefix="0" xfId="0">
      <alignment vertical="top" wrapText="1"/>
    </xf>
    <xf numFmtId="0" fontId="5" fillId="3" borderId="8" applyAlignment="1" pivotButton="0" quotePrefix="0" xfId="0">
      <alignment horizontal="center" vertical="top" wrapText="1"/>
    </xf>
    <xf numFmtId="0" fontId="5" fillId="3" borderId="9" applyAlignment="1" pivotButton="0" quotePrefix="0" xfId="0">
      <alignment horizontal="center" vertical="top" wrapText="1"/>
    </xf>
    <xf numFmtId="0" fontId="5" fillId="3" borderId="10" applyAlignment="1" pivotButton="0" quotePrefix="0" xfId="0">
      <alignment horizontal="center" vertical="top" wrapText="1"/>
    </xf>
    <xf numFmtId="0" fontId="5" fillId="3" borderId="11" applyAlignment="1" pivotButton="0" quotePrefix="0" xfId="0">
      <alignment horizontal="center" vertical="top" wrapText="1"/>
    </xf>
    <xf numFmtId="0" fontId="5" fillId="3" borderId="8" applyAlignment="1" pivotButton="0" quotePrefix="0" xfId="0">
      <alignment horizontal="center" vertical="center" wrapText="1"/>
    </xf>
    <xf numFmtId="0" fontId="5" fillId="3" borderId="9" applyAlignment="1" pivotButton="0" quotePrefix="0" xfId="0">
      <alignment horizontal="center" vertical="center" wrapText="1"/>
    </xf>
    <xf numFmtId="0" fontId="5" fillId="3" borderId="10" applyAlignment="1" pivotButton="0" quotePrefix="0" xfId="0">
      <alignment horizontal="center" vertical="center" wrapText="1"/>
    </xf>
    <xf numFmtId="0" fontId="5" fillId="3" borderId="11" applyAlignment="1" pivotButton="0" quotePrefix="0" xfId="0">
      <alignment horizontal="center" vertical="center" wrapText="1"/>
    </xf>
    <xf numFmtId="164" fontId="3" fillId="4" borderId="8" applyAlignment="1" pivotButton="0" quotePrefix="0" xfId="0">
      <alignment vertical="top" wrapText="1"/>
    </xf>
    <xf numFmtId="164" fontId="3" fillId="4" borderId="9" applyAlignment="1" pivotButton="0" quotePrefix="0" xfId="0">
      <alignment vertical="top" wrapText="1"/>
    </xf>
    <xf numFmtId="164" fontId="3" fillId="4" borderId="10" applyAlignment="1" pivotButton="0" quotePrefix="0" xfId="0">
      <alignment vertical="top" wrapText="1"/>
    </xf>
    <xf numFmtId="164" fontId="3" fillId="4" borderId="11" applyAlignment="1" pivotButton="0" quotePrefix="0" xfId="0">
      <alignment vertical="top" wrapText="1"/>
    </xf>
    <xf numFmtId="165" fontId="3" fillId="4" borderId="8" applyAlignment="1" pivotButton="0" quotePrefix="0" xfId="0">
      <alignment vertical="top" wrapText="1"/>
    </xf>
    <xf numFmtId="165" fontId="3" fillId="4" borderId="9" applyAlignment="1" pivotButton="0" quotePrefix="0" xfId="0">
      <alignment vertical="top" wrapText="1"/>
    </xf>
    <xf numFmtId="165" fontId="3" fillId="4" borderId="10" applyAlignment="1" pivotButton="0" quotePrefix="0" xfId="0">
      <alignment vertical="top" wrapText="1"/>
    </xf>
    <xf numFmtId="165" fontId="3" fillId="4" borderId="11" applyAlignment="1" pivotButton="0" quotePrefix="0" xfId="0">
      <alignment vertical="top" wrapText="1"/>
    </xf>
    <xf numFmtId="166" fontId="3" fillId="4" borderId="8" applyAlignment="1" pivotButton="0" quotePrefix="0" xfId="0">
      <alignment vertical="top" wrapText="1"/>
    </xf>
    <xf numFmtId="166" fontId="3" fillId="4" borderId="9" applyAlignment="1" pivotButton="0" quotePrefix="0" xfId="0">
      <alignment vertical="top" wrapText="1"/>
    </xf>
    <xf numFmtId="166" fontId="3" fillId="4" borderId="10" applyAlignment="1" pivotButton="0" quotePrefix="0" xfId="0">
      <alignment vertical="top" wrapText="1"/>
    </xf>
    <xf numFmtId="166" fontId="3" fillId="4" borderId="11" applyAlignment="1" pivotButton="0" quotePrefix="0" xfId="0">
      <alignment vertical="top" wrapText="1"/>
    </xf>
    <xf numFmtId="167" fontId="3" fillId="3" borderId="8" applyAlignment="1" pivotButton="0" quotePrefix="0" xfId="0">
      <alignment vertical="top" wrapText="1"/>
    </xf>
    <xf numFmtId="167" fontId="3" fillId="3" borderId="9" applyAlignment="1" pivotButton="0" quotePrefix="0" xfId="0">
      <alignment vertical="top" wrapText="1"/>
    </xf>
    <xf numFmtId="167" fontId="3" fillId="3" borderId="10" applyAlignment="1" pivotButton="0" quotePrefix="0" xfId="0">
      <alignment vertical="top" wrapText="1"/>
    </xf>
    <xf numFmtId="167" fontId="3" fillId="3" borderId="11" applyAlignment="1" pivotButton="0" quotePrefix="0" xfId="0">
      <alignment vertical="top" wrapText="1"/>
    </xf>
    <xf numFmtId="0" fontId="4" fillId="5" borderId="8" applyAlignment="1" pivotButton="0" quotePrefix="0" xfId="0">
      <alignment horizontal="center" vertical="center" wrapText="1"/>
    </xf>
    <xf numFmtId="164" fontId="3" fillId="5" borderId="8" applyAlignment="1" pivotButton="0" quotePrefix="0" xfId="0">
      <alignment vertical="top" wrapText="1"/>
    </xf>
    <xf numFmtId="165" fontId="3" fillId="5" borderId="8" applyAlignment="1" pivotButton="0" quotePrefix="0" xfId="0">
      <alignment vertical="top" wrapText="1"/>
    </xf>
    <xf numFmtId="166" fontId="3" fillId="5" borderId="8" applyAlignment="1" pivotButton="0" quotePrefix="0" xfId="0">
      <alignment vertical="top" wrapText="1"/>
    </xf>
    <xf numFmtId="167" fontId="3" fillId="5" borderId="8" applyAlignment="1" pivotButton="0" quotePrefix="0" xfId="0">
      <alignment vertical="top" wrapText="1"/>
    </xf>
    <xf numFmtId="0" fontId="3" fillId="5" borderId="8" applyAlignment="1" pivotButton="0" quotePrefix="0" xfId="0">
      <alignment horizontal="center" vertical="center" wrapText="1"/>
    </xf>
    <xf numFmtId="0" fontId="5" fillId="5" borderId="8" applyAlignment="1" pivotButton="0" quotePrefix="0" xfId="0">
      <alignment horizontal="center" vertical="center" wrapText="1"/>
    </xf>
    <xf numFmtId="0" fontId="4" fillId="5" borderId="9" applyAlignment="1" pivotButton="0" quotePrefix="0" xfId="0">
      <alignment horizontal="center" vertical="center" wrapText="1"/>
    </xf>
    <xf numFmtId="164" fontId="3" fillId="5" borderId="9" applyAlignment="1" pivotButton="0" quotePrefix="0" xfId="0">
      <alignment vertical="top" wrapText="1"/>
    </xf>
    <xf numFmtId="165" fontId="3" fillId="5" borderId="9" applyAlignment="1" pivotButton="0" quotePrefix="0" xfId="0">
      <alignment vertical="top" wrapText="1"/>
    </xf>
    <xf numFmtId="166" fontId="3" fillId="5" borderId="9" applyAlignment="1" pivotButton="0" quotePrefix="0" xfId="0">
      <alignment vertical="top" wrapText="1"/>
    </xf>
    <xf numFmtId="167" fontId="3" fillId="5" borderId="9" applyAlignment="1" pivotButton="0" quotePrefix="0" xfId="0">
      <alignment vertical="top" wrapText="1"/>
    </xf>
    <xf numFmtId="0" fontId="3" fillId="5" borderId="9" applyAlignment="1" pivotButton="0" quotePrefix="0" xfId="0">
      <alignment horizontal="center" vertical="center" wrapText="1"/>
    </xf>
    <xf numFmtId="0" fontId="5" fillId="5" borderId="9" applyAlignment="1" pivotButton="0" quotePrefix="0" xfId="0">
      <alignment horizontal="center" vertical="center" wrapText="1"/>
    </xf>
    <xf numFmtId="0" fontId="4" fillId="5" borderId="10" applyAlignment="1" pivotButton="0" quotePrefix="0" xfId="0">
      <alignment horizontal="center" vertical="center" wrapText="1"/>
    </xf>
    <xf numFmtId="164" fontId="3" fillId="5" borderId="10" applyAlignment="1" pivotButton="0" quotePrefix="0" xfId="0">
      <alignment vertical="top" wrapText="1"/>
    </xf>
    <xf numFmtId="165" fontId="3" fillId="5" borderId="10" applyAlignment="1" pivotButton="0" quotePrefix="0" xfId="0">
      <alignment vertical="top" wrapText="1"/>
    </xf>
    <xf numFmtId="166" fontId="3" fillId="5" borderId="10" applyAlignment="1" pivotButton="0" quotePrefix="0" xfId="0">
      <alignment vertical="top" wrapText="1"/>
    </xf>
    <xf numFmtId="167" fontId="3" fillId="5" borderId="10" applyAlignment="1" pivotButton="0" quotePrefix="0" xfId="0">
      <alignment vertical="top" wrapText="1"/>
    </xf>
    <xf numFmtId="0" fontId="3" fillId="5" borderId="10" applyAlignment="1" pivotButton="0" quotePrefix="0" xfId="0">
      <alignment horizontal="center" vertical="center" wrapText="1"/>
    </xf>
    <xf numFmtId="0" fontId="5" fillId="5" borderId="10" applyAlignment="1" pivotButton="0" quotePrefix="0" xfId="0">
      <alignment horizontal="center" vertical="center" wrapText="1"/>
    </xf>
    <xf numFmtId="0" fontId="4" fillId="5" borderId="11" applyAlignment="1" pivotButton="0" quotePrefix="0" xfId="0">
      <alignment horizontal="center" vertical="center" wrapText="1"/>
    </xf>
    <xf numFmtId="164" fontId="3" fillId="5" borderId="11" applyAlignment="1" pivotButton="0" quotePrefix="0" xfId="0">
      <alignment vertical="top" wrapText="1"/>
    </xf>
    <xf numFmtId="165" fontId="3" fillId="5" borderId="11" applyAlignment="1" pivotButton="0" quotePrefix="0" xfId="0">
      <alignment vertical="top" wrapText="1"/>
    </xf>
    <xf numFmtId="166" fontId="3" fillId="5" borderId="11" applyAlignment="1" pivotButton="0" quotePrefix="0" xfId="0">
      <alignment vertical="top" wrapText="1"/>
    </xf>
    <xf numFmtId="167" fontId="3" fillId="5" borderId="11" applyAlignment="1" pivotButton="0" quotePrefix="0" xfId="0">
      <alignment vertical="top" wrapText="1"/>
    </xf>
    <xf numFmtId="0" fontId="3" fillId="5" borderId="11" applyAlignment="1" pivotButton="0" quotePrefix="0" xfId="0">
      <alignment horizontal="center" vertical="center" wrapText="1"/>
    </xf>
    <xf numFmtId="0" fontId="5" fillId="5" borderId="11" applyAlignment="1" pivotButton="0" quotePrefix="0" xfId="0">
      <alignment horizontal="center" vertical="center" wrapText="1"/>
    </xf>
    <xf numFmtId="0" fontId="6" fillId="5" borderId="8" applyAlignment="1" pivotButton="0" quotePrefix="0" xfId="0">
      <alignment horizontal="center" vertical="center" wrapText="1"/>
    </xf>
    <xf numFmtId="0" fontId="6" fillId="5" borderId="9" applyAlignment="1" pivotButton="0" quotePrefix="0" xfId="0">
      <alignment horizontal="center" vertical="center" wrapText="1"/>
    </xf>
    <xf numFmtId="0" fontId="6" fillId="5" borderId="10" applyAlignment="1" pivotButton="0" quotePrefix="0" xfId="0">
      <alignment horizontal="center" vertical="center" wrapText="1"/>
    </xf>
    <xf numFmtId="0" fontId="6" fillId="5" borderId="11" applyAlignment="1" pivotButton="0" quotePrefix="0" xfId="0">
      <alignment horizontal="center" vertical="center" wrapText="1"/>
    </xf>
    <xf numFmtId="0" fontId="6" fillId="5" borderId="8" applyAlignment="1" pivotButton="0" quotePrefix="0" xfId="0">
      <alignment horizontal="center" vertical="top" wrapText="1"/>
    </xf>
    <xf numFmtId="0" fontId="3" fillId="5" borderId="8" applyAlignment="1" pivotButton="0" quotePrefix="0" xfId="0">
      <alignment horizontal="center" vertical="top" wrapText="1"/>
    </xf>
    <xf numFmtId="0" fontId="6" fillId="5" borderId="9" applyAlignment="1" pivotButton="0" quotePrefix="0" xfId="0">
      <alignment horizontal="center" vertical="top" wrapText="1"/>
    </xf>
    <xf numFmtId="0" fontId="3" fillId="5" borderId="9" applyAlignment="1" pivotButton="0" quotePrefix="0" xfId="0">
      <alignment horizontal="center" vertical="top" wrapText="1"/>
    </xf>
    <xf numFmtId="0" fontId="6" fillId="5" borderId="10" applyAlignment="1" pivotButton="0" quotePrefix="0" xfId="0">
      <alignment horizontal="center" vertical="top" wrapText="1"/>
    </xf>
    <xf numFmtId="0" fontId="3" fillId="5" borderId="10" applyAlignment="1" pivotButton="0" quotePrefix="0" xfId="0">
      <alignment horizontal="center" vertical="top" wrapText="1"/>
    </xf>
    <xf numFmtId="0" fontId="6" fillId="5" borderId="11" applyAlignment="1" pivotButton="0" quotePrefix="0" xfId="0">
      <alignment horizontal="center" vertical="top" wrapText="1"/>
    </xf>
    <xf numFmtId="0" fontId="3" fillId="5" borderId="11" applyAlignment="1" pivotButton="0" quotePrefix="0" xfId="0">
      <alignment horizontal="center" vertical="top" wrapText="1"/>
    </xf>
    <xf numFmtId="0" fontId="6" fillId="6" borderId="8" applyAlignment="1" pivotButton="0" quotePrefix="0" xfId="0">
      <alignment horizontal="center" vertical="top" wrapText="1"/>
    </xf>
    <xf numFmtId="0" fontId="6" fillId="6" borderId="9" applyAlignment="1" pivotButton="0" quotePrefix="0" xfId="0">
      <alignment horizontal="center" vertical="top" wrapText="1"/>
    </xf>
    <xf numFmtId="0" fontId="6" fillId="6" borderId="10" applyAlignment="1" pivotButton="0" quotePrefix="0" xfId="0">
      <alignment horizontal="center" vertical="top" wrapText="1"/>
    </xf>
    <xf numFmtId="0" fontId="6" fillId="6" borderId="11" applyAlignment="1" pivotButton="0" quotePrefix="0" xfId="0">
      <alignment horizontal="center" vertical="top" wrapText="1"/>
    </xf>
    <xf numFmtId="0" fontId="6" fillId="3" borderId="8" applyAlignment="1" pivotButton="0" quotePrefix="0" xfId="0">
      <alignment horizontal="center" vertical="top" wrapText="1"/>
    </xf>
    <xf numFmtId="0" fontId="6" fillId="3" borderId="9" applyAlignment="1" pivotButton="0" quotePrefix="0" xfId="0">
      <alignment horizontal="center" vertical="top" wrapText="1"/>
    </xf>
    <xf numFmtId="0" fontId="6" fillId="3" borderId="10" applyAlignment="1" pivotButton="0" quotePrefix="0" xfId="0">
      <alignment horizontal="center" vertical="top" wrapText="1"/>
    </xf>
    <xf numFmtId="0" fontId="6" fillId="3" borderId="11" applyAlignment="1" pivotButton="0" quotePrefix="0" xfId="0">
      <alignment horizontal="center" vertical="top" wrapText="1"/>
    </xf>
    <xf numFmtId="0" fontId="3" fillId="3" borderId="8" applyAlignment="1" pivotButton="0" quotePrefix="0" xfId="0">
      <alignment horizontal="center" vertical="top" wrapText="1"/>
    </xf>
    <xf numFmtId="0" fontId="3" fillId="3" borderId="9" applyAlignment="1" pivotButton="0" quotePrefix="0" xfId="0">
      <alignment horizontal="center" vertical="top" wrapText="1"/>
    </xf>
    <xf numFmtId="0" fontId="3" fillId="3" borderId="10" applyAlignment="1" pivotButton="0" quotePrefix="0" xfId="0">
      <alignment horizontal="center" vertical="top" wrapText="1"/>
    </xf>
    <xf numFmtId="0" fontId="3" fillId="3" borderId="11" applyAlignment="1" pivotButton="0" quotePrefix="0" xfId="0">
      <alignment horizontal="center" vertical="top" wrapText="1"/>
    </xf>
    <xf numFmtId="0" fontId="0" fillId="5" borderId="12" pivotButton="0" quotePrefix="0" xfId="0"/>
    <xf numFmtId="0" fontId="0" fillId="5" borderId="13" pivotButton="0" quotePrefix="0" xfId="0"/>
    <xf numFmtId="0" fontId="0" fillId="5" borderId="14" pivotButton="0" quotePrefix="0" xfId="0"/>
    <xf numFmtId="0" fontId="0" fillId="5" borderId="15" pivotButton="0" quotePrefix="0" xfId="0"/>
    <xf numFmtId="0" fontId="0" fillId="5" borderId="16" pivotButton="0" quotePrefix="0" xfId="0"/>
    <xf numFmtId="0" fontId="0" fillId="5" borderId="17" pivotButton="0" quotePrefix="0" xfId="0"/>
    <xf numFmtId="0" fontId="0" fillId="5" borderId="18" pivotButton="0" quotePrefix="0" xfId="0"/>
    <xf numFmtId="0" fontId="0" fillId="5" borderId="19" pivotButton="0" quotePrefix="0" xfId="0"/>
    <xf numFmtId="0" fontId="0" fillId="5" borderId="20" pivotButton="0" quotePrefix="0" xfId="0"/>
    <xf numFmtId="0" fontId="0" fillId="5" borderId="21" pivotButton="0" quotePrefix="0" xfId="0"/>
    <xf numFmtId="0" fontId="0" fillId="5" borderId="22" pivotButton="0" quotePrefix="0" xfId="0"/>
    <xf numFmtId="0" fontId="0" fillId="5" borderId="23" pivotButton="0" quotePrefix="0" xfId="0"/>
    <xf numFmtId="0" fontId="0" fillId="7" borderId="12" pivotButton="0" quotePrefix="0" xfId="0"/>
    <xf numFmtId="0" fontId="0" fillId="7" borderId="13" pivotButton="0" quotePrefix="0" xfId="0"/>
    <xf numFmtId="0" fontId="0" fillId="7" borderId="18" pivotButton="0" quotePrefix="0" xfId="0"/>
    <xf numFmtId="0" fontId="0" fillId="7" borderId="19" pivotButton="0" quotePrefix="0" xfId="0"/>
    <xf numFmtId="0" fontId="6" fillId="7" borderId="12" pivotButton="0" quotePrefix="0" xfId="0"/>
    <xf numFmtId="0" fontId="6" fillId="7" borderId="13" pivotButton="0" quotePrefix="0" xfId="0"/>
    <xf numFmtId="0" fontId="6" fillId="7" borderId="18" pivotButton="0" quotePrefix="0" xfId="0"/>
    <xf numFmtId="0" fontId="6" fillId="7" borderId="19" pivotButton="0" quotePrefix="0" xfId="0"/>
    <xf numFmtId="0" fontId="6" fillId="7" borderId="12" applyAlignment="1" pivotButton="0" quotePrefix="0" xfId="0">
      <alignment vertical="center"/>
    </xf>
    <xf numFmtId="0" fontId="6" fillId="7" borderId="13" applyAlignment="1" pivotButton="0" quotePrefix="0" xfId="0">
      <alignment vertical="center"/>
    </xf>
    <xf numFmtId="0" fontId="6" fillId="7" borderId="18" applyAlignment="1" pivotButton="0" quotePrefix="0" xfId="0">
      <alignment vertical="center"/>
    </xf>
    <xf numFmtId="0" fontId="6" fillId="7" borderId="19" applyAlignment="1" pivotButton="0" quotePrefix="0" xfId="0">
      <alignment vertical="center"/>
    </xf>
    <xf numFmtId="0" fontId="4" fillId="5" borderId="14" pivotButton="0" quotePrefix="0" xfId="0"/>
    <xf numFmtId="0" fontId="4" fillId="5" borderId="20" pivotButton="0" quotePrefix="0" xfId="0"/>
    <xf numFmtId="1" fontId="4" fillId="5" borderId="14" pivotButton="0" quotePrefix="0" xfId="0"/>
    <xf numFmtId="1" fontId="4" fillId="5" borderId="20" pivotButton="0" quotePrefix="0" xfId="0"/>
    <xf numFmtId="1" fontId="4" fillId="5" borderId="14" applyAlignment="1" pivotButton="0" quotePrefix="0" xfId="0">
      <alignment vertical="center"/>
    </xf>
    <xf numFmtId="1" fontId="4" fillId="5" borderId="20" applyAlignment="1" pivotButton="0" quotePrefix="0" xfId="0">
      <alignment vertical="center"/>
    </xf>
    <xf numFmtId="0" fontId="2" fillId="5" borderId="16" pivotButton="0" quotePrefix="0" xfId="0"/>
    <xf numFmtId="0" fontId="2" fillId="5" borderId="17" pivotButton="0" quotePrefix="0" xfId="0"/>
    <xf numFmtId="0" fontId="2" fillId="5" borderId="22" pivotButton="0" quotePrefix="0" xfId="0"/>
    <xf numFmtId="0" fontId="2" fillId="5" borderId="23" pivotButton="0" quotePrefix="0" xfId="0"/>
    <xf numFmtId="0" fontId="0" fillId="8" borderId="0" pivotButton="0" quotePrefix="0" xfId="0"/>
    <xf numFmtId="0" fontId="0" fillId="8" borderId="1" pivotButton="0" quotePrefix="0" xfId="0"/>
    <xf numFmtId="0" fontId="1" fillId="8" borderId="0" pivotButton="0" quotePrefix="0" xfId="0"/>
    <xf numFmtId="0" fontId="1" fillId="8" borderId="1" pivotButton="0" quotePrefix="0" xfId="0"/>
    <xf numFmtId="0" fontId="1" fillId="8" borderId="0" applyAlignment="1" pivotButton="0" quotePrefix="0" xfId="0">
      <alignment vertical="center"/>
    </xf>
    <xf numFmtId="0" fontId="1" fillId="8" borderId="1" applyAlignment="1" pivotButton="0" quotePrefix="0" xfId="0">
      <alignment vertical="center"/>
    </xf>
    <xf numFmtId="0" fontId="1" fillId="2" borderId="24" pivotButton="0" quotePrefix="0" xfId="0"/>
    <xf numFmtId="0" fontId="1" fillId="2" borderId="25" pivotButton="0" quotePrefix="0" xfId="0"/>
    <xf numFmtId="0" fontId="1" fillId="2" borderId="26" pivotButton="0" quotePrefix="0" xfId="0"/>
    <xf numFmtId="0" fontId="1" fillId="2" borderId="27" pivotButton="0" quotePrefix="0" xfId="0"/>
    <xf numFmtId="0" fontId="1" fillId="2" borderId="28" pivotButton="0" quotePrefix="0" xfId="0"/>
    <xf numFmtId="0" fontId="1" fillId="2" borderId="29" pivotButton="0" quotePrefix="0" xfId="0"/>
    <xf numFmtId="0" fontId="1" fillId="2" borderId="30" pivotButton="0" quotePrefix="0" xfId="0"/>
    <xf numFmtId="0" fontId="1" fillId="2" borderId="31" pivotButton="0" quotePrefix="0" xfId="0"/>
    <xf numFmtId="0" fontId="1" fillId="2" borderId="32" pivotButton="0" quotePrefix="0" xfId="0"/>
    <xf numFmtId="0" fontId="1" fillId="2" borderId="33" pivotButton="0" quotePrefix="0" xfId="0"/>
    <xf numFmtId="0" fontId="1" fillId="2" borderId="34" pivotButton="0" quotePrefix="0" xfId="0"/>
    <xf numFmtId="0" fontId="1" fillId="2" borderId="35" pivotButton="0" quotePrefix="0" xfId="0"/>
    <xf numFmtId="0" fontId="1" fillId="2" borderId="24" applyAlignment="1" pivotButton="0" quotePrefix="0" xfId="0">
      <alignment wrapText="1"/>
    </xf>
    <xf numFmtId="0" fontId="1" fillId="2" borderId="25" applyAlignment="1" pivotButton="0" quotePrefix="0" xfId="0">
      <alignment wrapText="1"/>
    </xf>
    <xf numFmtId="0" fontId="1" fillId="2" borderId="26" applyAlignment="1" pivotButton="0" quotePrefix="0" xfId="0">
      <alignment wrapText="1"/>
    </xf>
    <xf numFmtId="0" fontId="1" fillId="2" borderId="27" applyAlignment="1" pivotButton="0" quotePrefix="0" xfId="0">
      <alignment wrapText="1"/>
    </xf>
    <xf numFmtId="0" fontId="1" fillId="2" borderId="28" applyAlignment="1" pivotButton="0" quotePrefix="0" xfId="0">
      <alignment wrapText="1"/>
    </xf>
    <xf numFmtId="0" fontId="1" fillId="2" borderId="29" applyAlignment="1" pivotButton="0" quotePrefix="0" xfId="0">
      <alignment wrapText="1"/>
    </xf>
    <xf numFmtId="0" fontId="1" fillId="2" borderId="30" applyAlignment="1" pivotButton="0" quotePrefix="0" xfId="0">
      <alignment wrapText="1"/>
    </xf>
    <xf numFmtId="0" fontId="1" fillId="2" borderId="31" applyAlignment="1" pivotButton="0" quotePrefix="0" xfId="0">
      <alignment wrapText="1"/>
    </xf>
    <xf numFmtId="0" fontId="1" fillId="2" borderId="32" applyAlignment="1" pivotButton="0" quotePrefix="0" xfId="0">
      <alignment wrapText="1"/>
    </xf>
    <xf numFmtId="0" fontId="1" fillId="2" borderId="33" applyAlignment="1" pivotButton="0" quotePrefix="0" xfId="0">
      <alignment wrapText="1"/>
    </xf>
    <xf numFmtId="0" fontId="1" fillId="2" borderId="34" applyAlignment="1" pivotButton="0" quotePrefix="0" xfId="0">
      <alignment wrapText="1"/>
    </xf>
    <xf numFmtId="0" fontId="1" fillId="2" borderId="35" applyAlignment="1" pivotButton="0" quotePrefix="0" xfId="0">
      <alignment wrapText="1"/>
    </xf>
    <xf numFmtId="0" fontId="1" fillId="2" borderId="24" applyAlignment="1" pivotButton="0" quotePrefix="0" xfId="0">
      <alignment vertical="center" wrapText="1"/>
    </xf>
    <xf numFmtId="0" fontId="1" fillId="2" borderId="25" applyAlignment="1" pivotButton="0" quotePrefix="0" xfId="0">
      <alignment vertical="center" wrapText="1"/>
    </xf>
    <xf numFmtId="0" fontId="1" fillId="2" borderId="26" applyAlignment="1" pivotButton="0" quotePrefix="0" xfId="0">
      <alignment vertical="center" wrapText="1"/>
    </xf>
    <xf numFmtId="0" fontId="1" fillId="2" borderId="27" applyAlignment="1" pivotButton="0" quotePrefix="0" xfId="0">
      <alignment vertical="center" wrapText="1"/>
    </xf>
    <xf numFmtId="0" fontId="1" fillId="2" borderId="28" applyAlignment="1" pivotButton="0" quotePrefix="0" xfId="0">
      <alignment vertical="center" wrapText="1"/>
    </xf>
    <xf numFmtId="0" fontId="1" fillId="2" borderId="29" applyAlignment="1" pivotButton="0" quotePrefix="0" xfId="0">
      <alignment vertical="center" wrapText="1"/>
    </xf>
    <xf numFmtId="0" fontId="1" fillId="2" borderId="30" applyAlignment="1" pivotButton="0" quotePrefix="0" xfId="0">
      <alignment vertical="center" wrapText="1"/>
    </xf>
    <xf numFmtId="0" fontId="1" fillId="2" borderId="31" applyAlignment="1" pivotButton="0" quotePrefix="0" xfId="0">
      <alignment vertical="center" wrapText="1"/>
    </xf>
    <xf numFmtId="0" fontId="1" fillId="2" borderId="32" applyAlignment="1" pivotButton="0" quotePrefix="0" xfId="0">
      <alignment vertical="center" wrapText="1"/>
    </xf>
    <xf numFmtId="0" fontId="1" fillId="2" borderId="33" applyAlignment="1" pivotButton="0" quotePrefix="0" xfId="0">
      <alignment vertical="center" wrapText="1"/>
    </xf>
    <xf numFmtId="0" fontId="1" fillId="2" borderId="34" applyAlignment="1" pivotButton="0" quotePrefix="0" xfId="0">
      <alignment vertical="center" wrapText="1"/>
    </xf>
    <xf numFmtId="0" fontId="1" fillId="2" borderId="35" applyAlignment="1" pivotButton="0" quotePrefix="0" xfId="0">
      <alignment vertical="center" wrapText="1"/>
    </xf>
    <xf numFmtId="0" fontId="4" fillId="3" borderId="8" applyAlignment="1" pivotButton="0" quotePrefix="0" xfId="0">
      <alignment vertical="center" wrapText="1"/>
    </xf>
    <xf numFmtId="0" fontId="4" fillId="3" borderId="9" applyAlignment="1" pivotButton="0" quotePrefix="0" xfId="0">
      <alignment vertical="center" wrapText="1"/>
    </xf>
    <xf numFmtId="0" fontId="4" fillId="3" borderId="10" applyAlignment="1" pivotButton="0" quotePrefix="0" xfId="0">
      <alignment vertical="center" wrapText="1"/>
    </xf>
    <xf numFmtId="0" fontId="4" fillId="3" borderId="11" applyAlignment="1" pivotButton="0" quotePrefix="0" xfId="0">
      <alignment vertical="center" wrapText="1"/>
    </xf>
    <xf numFmtId="0" fontId="0" fillId="7" borderId="0" pivotButton="0" quotePrefix="0" xfId="0"/>
    <xf numFmtId="0" fontId="0" fillId="7" borderId="1" pivotButton="0" quotePrefix="0" xfId="0"/>
    <xf numFmtId="0" fontId="3" fillId="7" borderId="0" pivotButton="0" quotePrefix="0" xfId="0"/>
    <xf numFmtId="0" fontId="3" fillId="7" borderId="1" pivotButton="0" quotePrefix="0" xfId="0"/>
    <xf numFmtId="0" fontId="3" fillId="7" borderId="12" pivotButton="0" quotePrefix="0" xfId="0"/>
    <xf numFmtId="0" fontId="3" fillId="7" borderId="36" pivotButton="0" quotePrefix="0" xfId="0"/>
    <xf numFmtId="0" fontId="3" fillId="7" borderId="13" pivotButton="0" quotePrefix="0" xfId="0"/>
    <xf numFmtId="0" fontId="3" fillId="7" borderId="14" pivotButton="0" quotePrefix="0" xfId="0"/>
    <xf numFmtId="0" fontId="3" fillId="7" borderId="15" pivotButton="0" quotePrefix="0" xfId="0"/>
    <xf numFmtId="0" fontId="3" fillId="7" borderId="16" pivotButton="0" quotePrefix="0" xfId="0"/>
    <xf numFmtId="0" fontId="3" fillId="7" borderId="8" pivotButton="0" quotePrefix="0" xfId="0"/>
    <xf numFmtId="0" fontId="3" fillId="7" borderId="17" pivotButton="0" quotePrefix="0" xfId="0"/>
    <xf numFmtId="0" fontId="3" fillId="7" borderId="18" pivotButton="0" quotePrefix="0" xfId="0"/>
    <xf numFmtId="0" fontId="3" fillId="7" borderId="37" pivotButton="0" quotePrefix="0" xfId="0"/>
    <xf numFmtId="0" fontId="3" fillId="7" borderId="19" pivotButton="0" quotePrefix="0" xfId="0"/>
    <xf numFmtId="0" fontId="3" fillId="7" borderId="20" pivotButton="0" quotePrefix="0" xfId="0"/>
    <xf numFmtId="0" fontId="3" fillId="7" borderId="21" pivotButton="0" quotePrefix="0" xfId="0"/>
    <xf numFmtId="0" fontId="3" fillId="7" borderId="22" pivotButton="0" quotePrefix="0" xfId="0"/>
    <xf numFmtId="0" fontId="3" fillId="7" borderId="10" pivotButton="0" quotePrefix="0" xfId="0"/>
    <xf numFmtId="0" fontId="3" fillId="7" borderId="23" pivotButton="0" quotePrefix="0" xfId="0"/>
    <xf numFmtId="0" fontId="3" fillId="7" borderId="12" applyAlignment="1" pivotButton="0" quotePrefix="0" xfId="0">
      <alignment wrapText="1"/>
    </xf>
    <xf numFmtId="0" fontId="3" fillId="7" borderId="36" applyAlignment="1" pivotButton="0" quotePrefix="0" xfId="0">
      <alignment wrapText="1"/>
    </xf>
    <xf numFmtId="0" fontId="3" fillId="7" borderId="13" applyAlignment="1" pivotButton="0" quotePrefix="0" xfId="0">
      <alignment wrapText="1"/>
    </xf>
    <xf numFmtId="0" fontId="3" fillId="7" borderId="14" applyAlignment="1" pivotButton="0" quotePrefix="0" xfId="0">
      <alignment wrapText="1"/>
    </xf>
    <xf numFmtId="0" fontId="3" fillId="7" borderId="0" applyAlignment="1" pivotButton="0" quotePrefix="0" xfId="0">
      <alignment wrapText="1"/>
    </xf>
    <xf numFmtId="0" fontId="3" fillId="7" borderId="15" applyAlignment="1" pivotButton="0" quotePrefix="0" xfId="0">
      <alignment wrapText="1"/>
    </xf>
    <xf numFmtId="0" fontId="3" fillId="7" borderId="16" applyAlignment="1" pivotButton="0" quotePrefix="0" xfId="0">
      <alignment wrapText="1"/>
    </xf>
    <xf numFmtId="0" fontId="3" fillId="7" borderId="8" applyAlignment="1" pivotButton="0" quotePrefix="0" xfId="0">
      <alignment wrapText="1"/>
    </xf>
    <xf numFmtId="0" fontId="3" fillId="7" borderId="17" applyAlignment="1" pivotButton="0" quotePrefix="0" xfId="0">
      <alignment wrapText="1"/>
    </xf>
    <xf numFmtId="0" fontId="3" fillId="7" borderId="18" applyAlignment="1" pivotButton="0" quotePrefix="0" xfId="0">
      <alignment wrapText="1"/>
    </xf>
    <xf numFmtId="0" fontId="3" fillId="7" borderId="37" applyAlignment="1" pivotButton="0" quotePrefix="0" xfId="0">
      <alignment wrapText="1"/>
    </xf>
    <xf numFmtId="0" fontId="3" fillId="7" borderId="19" applyAlignment="1" pivotButton="0" quotePrefix="0" xfId="0">
      <alignment wrapText="1"/>
    </xf>
    <xf numFmtId="0" fontId="3" fillId="7" borderId="20" applyAlignment="1" pivotButton="0" quotePrefix="0" xfId="0">
      <alignment wrapText="1"/>
    </xf>
    <xf numFmtId="0" fontId="3" fillId="7" borderId="1" applyAlignment="1" pivotButton="0" quotePrefix="0" xfId="0">
      <alignment wrapText="1"/>
    </xf>
    <xf numFmtId="0" fontId="3" fillId="7" borderId="21" applyAlignment="1" pivotButton="0" quotePrefix="0" xfId="0">
      <alignment wrapText="1"/>
    </xf>
    <xf numFmtId="0" fontId="3" fillId="7" borderId="22" applyAlignment="1" pivotButton="0" quotePrefix="0" xfId="0">
      <alignment wrapText="1"/>
    </xf>
    <xf numFmtId="0" fontId="3" fillId="7" borderId="10" applyAlignment="1" pivotButton="0" quotePrefix="0" xfId="0">
      <alignment wrapText="1"/>
    </xf>
    <xf numFmtId="0" fontId="3" fillId="7" borderId="23" applyAlignment="1" pivotButton="0" quotePrefix="0" xfId="0">
      <alignment wrapText="1"/>
    </xf>
    <xf numFmtId="0" fontId="3" fillId="7" borderId="12" applyAlignment="1" pivotButton="0" quotePrefix="0" xfId="0">
      <alignment vertical="top" wrapText="1"/>
    </xf>
    <xf numFmtId="0" fontId="3" fillId="7" borderId="36" applyAlignment="1" pivotButton="0" quotePrefix="0" xfId="0">
      <alignment vertical="top" wrapText="1"/>
    </xf>
    <xf numFmtId="0" fontId="3" fillId="7" borderId="13" applyAlignment="1" pivotButton="0" quotePrefix="0" xfId="0">
      <alignment vertical="top" wrapText="1"/>
    </xf>
    <xf numFmtId="0" fontId="3" fillId="7" borderId="14" applyAlignment="1" pivotButton="0" quotePrefix="0" xfId="0">
      <alignment vertical="top" wrapText="1"/>
    </xf>
    <xf numFmtId="0" fontId="3" fillId="7" borderId="0" applyAlignment="1" pivotButton="0" quotePrefix="0" xfId="0">
      <alignment vertical="top" wrapText="1"/>
    </xf>
    <xf numFmtId="0" fontId="3" fillId="7" borderId="15" applyAlignment="1" pivotButton="0" quotePrefix="0" xfId="0">
      <alignment vertical="top" wrapText="1"/>
    </xf>
    <xf numFmtId="0" fontId="3" fillId="7" borderId="16" applyAlignment="1" pivotButton="0" quotePrefix="0" xfId="0">
      <alignment vertical="top" wrapText="1"/>
    </xf>
    <xf numFmtId="0" fontId="3" fillId="7" borderId="8" applyAlignment="1" pivotButton="0" quotePrefix="0" xfId="0">
      <alignment vertical="top" wrapText="1"/>
    </xf>
    <xf numFmtId="0" fontId="3" fillId="7" borderId="17" applyAlignment="1" pivotButton="0" quotePrefix="0" xfId="0">
      <alignment vertical="top" wrapText="1"/>
    </xf>
    <xf numFmtId="0" fontId="3" fillId="7" borderId="18" applyAlignment="1" pivotButton="0" quotePrefix="0" xfId="0">
      <alignment vertical="top" wrapText="1"/>
    </xf>
    <xf numFmtId="0" fontId="3" fillId="7" borderId="37" applyAlignment="1" pivotButton="0" quotePrefix="0" xfId="0">
      <alignment vertical="top" wrapText="1"/>
    </xf>
    <xf numFmtId="0" fontId="3" fillId="7" borderId="19" applyAlignment="1" pivotButton="0" quotePrefix="0" xfId="0">
      <alignment vertical="top" wrapText="1"/>
    </xf>
    <xf numFmtId="0" fontId="3" fillId="7" borderId="20" applyAlignment="1" pivotButton="0" quotePrefix="0" xfId="0">
      <alignment vertical="top" wrapText="1"/>
    </xf>
    <xf numFmtId="0" fontId="3" fillId="7" borderId="1" applyAlignment="1" pivotButton="0" quotePrefix="0" xfId="0">
      <alignment vertical="top" wrapText="1"/>
    </xf>
    <xf numFmtId="0" fontId="3" fillId="7" borderId="21" applyAlignment="1" pivotButton="0" quotePrefix="0" xfId="0">
      <alignment vertical="top" wrapText="1"/>
    </xf>
    <xf numFmtId="0" fontId="3" fillId="7" borderId="22" applyAlignment="1" pivotButton="0" quotePrefix="0" xfId="0">
      <alignment vertical="top" wrapText="1"/>
    </xf>
    <xf numFmtId="0" fontId="3" fillId="7" borderId="10" applyAlignment="1" pivotButton="0" quotePrefix="0" xfId="0">
      <alignment vertical="top" wrapText="1"/>
    </xf>
    <xf numFmtId="0" fontId="3" fillId="7" borderId="23" applyAlignment="1" pivotButton="0" quotePrefix="0" xfId="0">
      <alignment vertical="top" wrapText="1"/>
    </xf>
    <xf numFmtId="1" fontId="4" fillId="6" borderId="8" applyAlignment="1" pivotButton="0" quotePrefix="0" xfId="0">
      <alignment vertical="top" wrapText="1"/>
    </xf>
    <xf numFmtId="1" fontId="4" fillId="6" borderId="9" applyAlignment="1" pivotButton="0" quotePrefix="0" xfId="0">
      <alignment vertical="top" wrapText="1"/>
    </xf>
    <xf numFmtId="1" fontId="4" fillId="6" borderId="10" applyAlignment="1" pivotButton="0" quotePrefix="0" xfId="0">
      <alignment vertical="top" wrapText="1"/>
    </xf>
    <xf numFmtId="1" fontId="4" fillId="6" borderId="11" applyAlignment="1" pivotButton="0" quotePrefix="0" xfId="0">
      <alignment vertical="top" wrapText="1"/>
    </xf>
    <xf numFmtId="1" fontId="4" fillId="6" borderId="8" applyAlignment="1" pivotButton="0" quotePrefix="0" xfId="0">
      <alignment horizontal="center" vertical="top" wrapText="1"/>
    </xf>
    <xf numFmtId="1" fontId="4" fillId="6" borderId="9" applyAlignment="1" pivotButton="0" quotePrefix="0" xfId="0">
      <alignment horizontal="center" vertical="top" wrapText="1"/>
    </xf>
    <xf numFmtId="1" fontId="4" fillId="6" borderId="10" applyAlignment="1" pivotButton="0" quotePrefix="0" xfId="0">
      <alignment horizontal="center" vertical="top" wrapText="1"/>
    </xf>
    <xf numFmtId="1" fontId="4" fillId="6" borderId="11" applyAlignment="1" pivotButton="0" quotePrefix="0" xfId="0">
      <alignment horizontal="center" vertical="top" wrapText="1"/>
    </xf>
    <xf numFmtId="1" fontId="4" fillId="6" borderId="8" applyAlignment="1" pivotButton="0" quotePrefix="0" xfId="0">
      <alignment horizontal="center" vertical="center" wrapText="1"/>
    </xf>
    <xf numFmtId="1" fontId="4" fillId="6" borderId="9" applyAlignment="1" pivotButton="0" quotePrefix="0" xfId="0">
      <alignment horizontal="center" vertical="center" wrapText="1"/>
    </xf>
    <xf numFmtId="1" fontId="4" fillId="6" borderId="10" applyAlignment="1" pivotButton="0" quotePrefix="0" xfId="0">
      <alignment horizontal="center" vertical="center" wrapText="1"/>
    </xf>
    <xf numFmtId="1" fontId="4" fillId="6" borderId="11" applyAlignment="1" pivotButton="0" quotePrefix="0" xfId="0">
      <alignment horizontal="center" vertical="center" wrapText="1"/>
    </xf>
    <xf numFmtId="0" fontId="6" fillId="3" borderId="8" applyAlignment="1" pivotButton="0" quotePrefix="0" xfId="0">
      <alignment vertical="top" wrapText="1"/>
    </xf>
    <xf numFmtId="0" fontId="6" fillId="3" borderId="9" applyAlignment="1" pivotButton="0" quotePrefix="0" xfId="0">
      <alignment vertical="top" wrapText="1"/>
    </xf>
    <xf numFmtId="0" fontId="6" fillId="3" borderId="10" applyAlignment="1" pivotButton="0" quotePrefix="0" xfId="0">
      <alignment vertical="top" wrapText="1"/>
    </xf>
    <xf numFmtId="0" fontId="6" fillId="3" borderId="11" applyAlignment="1" pivotButton="0" quotePrefix="0" xfId="0">
      <alignment vertical="top" wrapText="1"/>
    </xf>
    <xf numFmtId="1" fontId="6" fillId="3" borderId="8" applyAlignment="1" pivotButton="0" quotePrefix="0" xfId="0">
      <alignment vertical="top" wrapText="1"/>
    </xf>
    <xf numFmtId="1" fontId="6" fillId="3" borderId="9" applyAlignment="1" pivotButton="0" quotePrefix="0" xfId="0">
      <alignment vertical="top" wrapText="1"/>
    </xf>
    <xf numFmtId="1" fontId="6" fillId="3" borderId="10" applyAlignment="1" pivotButton="0" quotePrefix="0" xfId="0">
      <alignment vertical="top" wrapText="1"/>
    </xf>
    <xf numFmtId="1" fontId="6" fillId="3" borderId="11" applyAlignment="1" pivotButton="0" quotePrefix="0" xfId="0">
      <alignment vertical="top" wrapText="1"/>
    </xf>
    <xf numFmtId="1" fontId="6" fillId="3" borderId="8" applyAlignment="1" pivotButton="0" quotePrefix="0" xfId="0">
      <alignment horizontal="center" vertical="top" wrapText="1"/>
    </xf>
    <xf numFmtId="1" fontId="6" fillId="3" borderId="9" applyAlignment="1" pivotButton="0" quotePrefix="0" xfId="0">
      <alignment horizontal="center" vertical="top" wrapText="1"/>
    </xf>
    <xf numFmtId="1" fontId="6" fillId="3" borderId="10" applyAlignment="1" pivotButton="0" quotePrefix="0" xfId="0">
      <alignment horizontal="center" vertical="top" wrapText="1"/>
    </xf>
    <xf numFmtId="1" fontId="6" fillId="3" borderId="11" applyAlignment="1" pivotButton="0" quotePrefix="0" xfId="0">
      <alignment horizontal="center" vertical="top" wrapText="1"/>
    </xf>
    <xf numFmtId="1" fontId="6" fillId="3" borderId="8" applyAlignment="1" pivotButton="0" quotePrefix="0" xfId="0">
      <alignment horizontal="center" vertical="center" wrapText="1"/>
    </xf>
    <xf numFmtId="1" fontId="6" fillId="3" borderId="9" applyAlignment="1" pivotButton="0" quotePrefix="0" xfId="0">
      <alignment horizontal="center" vertical="center" wrapText="1"/>
    </xf>
    <xf numFmtId="1" fontId="6" fillId="3" borderId="10" applyAlignment="1" pivotButton="0" quotePrefix="0" xfId="0">
      <alignment horizontal="center" vertical="center" wrapText="1"/>
    </xf>
    <xf numFmtId="1" fontId="6" fillId="3" borderId="11" applyAlignment="1" pivotButton="0" quotePrefix="0" xfId="0">
      <alignment horizontal="center" vertical="center" wrapText="1"/>
    </xf>
    <xf numFmtId="1" fontId="4" fillId="5" borderId="8" applyAlignment="1" pivotButton="0" quotePrefix="0" xfId="0">
      <alignment horizontal="center" vertical="center" wrapText="1"/>
    </xf>
    <xf numFmtId="1" fontId="6" fillId="5" borderId="8" applyAlignment="1" pivotButton="0" quotePrefix="0" xfId="0">
      <alignment horizontal="center" vertical="center" wrapText="1"/>
    </xf>
    <xf numFmtId="1" fontId="4" fillId="5" borderId="9" applyAlignment="1" pivotButton="0" quotePrefix="0" xfId="0">
      <alignment horizontal="center" vertical="center" wrapText="1"/>
    </xf>
    <xf numFmtId="1" fontId="6" fillId="5" borderId="9" applyAlignment="1" pivotButton="0" quotePrefix="0" xfId="0">
      <alignment horizontal="center" vertical="center" wrapText="1"/>
    </xf>
    <xf numFmtId="1" fontId="4" fillId="5" borderId="10" applyAlignment="1" pivotButton="0" quotePrefix="0" xfId="0">
      <alignment horizontal="center" vertical="center" wrapText="1"/>
    </xf>
    <xf numFmtId="1" fontId="6" fillId="5" borderId="10" applyAlignment="1" pivotButton="0" quotePrefix="0" xfId="0">
      <alignment horizontal="center" vertical="center" wrapText="1"/>
    </xf>
    <xf numFmtId="1" fontId="4" fillId="5" borderId="11" applyAlignment="1" pivotButton="0" quotePrefix="0" xfId="0">
      <alignment horizontal="center" vertical="center" wrapText="1"/>
    </xf>
    <xf numFmtId="1" fontId="6" fillId="5" borderId="11" applyAlignment="1" pivotButton="0" quotePrefix="0" xfId="0">
      <alignment horizontal="center" vertical="center" wrapText="1"/>
    </xf>
    <xf numFmtId="1" fontId="6" fillId="5" borderId="8" applyAlignment="1" pivotButton="0" quotePrefix="0" xfId="0">
      <alignment horizontal="center" vertical="top" wrapText="1"/>
    </xf>
    <xf numFmtId="1" fontId="6" fillId="5" borderId="9" applyAlignment="1" pivotButton="0" quotePrefix="0" xfId="0">
      <alignment horizontal="center" vertical="top" wrapText="1"/>
    </xf>
    <xf numFmtId="1" fontId="6" fillId="5" borderId="10" applyAlignment="1" pivotButton="0" quotePrefix="0" xfId="0">
      <alignment horizontal="center" vertical="top" wrapText="1"/>
    </xf>
    <xf numFmtId="1" fontId="6" fillId="5" borderId="11" applyAlignment="1" pivotButton="0" quotePrefix="0" xfId="0">
      <alignment horizontal="center" vertical="top" wrapText="1"/>
    </xf>
    <xf numFmtId="1" fontId="6" fillId="6" borderId="8" applyAlignment="1" pivotButton="0" quotePrefix="0" xfId="0">
      <alignment horizontal="center" vertical="top" wrapText="1"/>
    </xf>
    <xf numFmtId="1" fontId="6" fillId="6" borderId="9" applyAlignment="1" pivotButton="0" quotePrefix="0" xfId="0">
      <alignment horizontal="center" vertical="top" wrapText="1"/>
    </xf>
    <xf numFmtId="1" fontId="6" fillId="6" borderId="10" applyAlignment="1" pivotButton="0" quotePrefix="0" xfId="0">
      <alignment horizontal="center" vertical="top" wrapText="1"/>
    </xf>
    <xf numFmtId="1" fontId="6" fillId="6" borderId="11" applyAlignment="1" pivotButton="0" quotePrefix="0" xfId="0">
      <alignment horizontal="center" vertical="top" wrapText="1"/>
    </xf>
    <xf numFmtId="1" fontId="3" fillId="5" borderId="8" applyAlignment="1" pivotButton="0" quotePrefix="0" xfId="0">
      <alignment horizontal="center" vertical="top" wrapText="1"/>
    </xf>
    <xf numFmtId="164" fontId="3" fillId="4" borderId="8" applyAlignment="1" pivotButton="0" quotePrefix="0" xfId="0">
      <alignment vertical="top" wrapText="1"/>
    </xf>
    <xf numFmtId="165" fontId="3" fillId="4" borderId="8" applyAlignment="1" pivotButton="0" quotePrefix="0" xfId="0">
      <alignment vertical="top" wrapText="1"/>
    </xf>
    <xf numFmtId="166" fontId="3" fillId="4" borderId="8" applyAlignment="1" pivotButton="0" quotePrefix="0" xfId="0">
      <alignment vertical="top" wrapText="1"/>
    </xf>
    <xf numFmtId="167" fontId="3" fillId="3" borderId="8" applyAlignment="1" pivotButton="0" quotePrefix="0" xfId="0">
      <alignment vertical="top" wrapText="1"/>
    </xf>
    <xf numFmtId="1" fontId="3" fillId="5" borderId="9" applyAlignment="1" pivotButton="0" quotePrefix="0" xfId="0">
      <alignment horizontal="center" vertical="top" wrapText="1"/>
    </xf>
    <xf numFmtId="164" fontId="3" fillId="4" borderId="9" applyAlignment="1" pivotButton="0" quotePrefix="0" xfId="0">
      <alignment vertical="top" wrapText="1"/>
    </xf>
    <xf numFmtId="165" fontId="3" fillId="4" borderId="9" applyAlignment="1" pivotButton="0" quotePrefix="0" xfId="0">
      <alignment vertical="top" wrapText="1"/>
    </xf>
    <xf numFmtId="166" fontId="3" fillId="4" borderId="9" applyAlignment="1" pivotButton="0" quotePrefix="0" xfId="0">
      <alignment vertical="top" wrapText="1"/>
    </xf>
    <xf numFmtId="167" fontId="3" fillId="3" borderId="9" applyAlignment="1" pivotButton="0" quotePrefix="0" xfId="0">
      <alignment vertical="top" wrapText="1"/>
    </xf>
    <xf numFmtId="0" fontId="6" fillId="7" borderId="38" applyAlignment="1" pivotButton="0" quotePrefix="0" xfId="0">
      <alignment vertical="center"/>
    </xf>
    <xf numFmtId="0" fontId="0" fillId="0" borderId="19" pivotButton="0" quotePrefix="0" xfId="0"/>
    <xf numFmtId="1" fontId="4" fillId="5" borderId="14" applyAlignment="1" pivotButton="0" quotePrefix="0" xfId="0">
      <alignment vertical="center"/>
    </xf>
    <xf numFmtId="0" fontId="2" fillId="5" borderId="39" pivotButton="0" quotePrefix="0" xfId="0"/>
    <xf numFmtId="0" fontId="0" fillId="0" borderId="23" pivotButton="0" quotePrefix="0" xfId="0"/>
    <xf numFmtId="1" fontId="3" fillId="5" borderId="8" applyAlignment="1" pivotButton="0" quotePrefix="0" xfId="0">
      <alignment vertical="top" wrapText="1"/>
    </xf>
    <xf numFmtId="167" fontId="3" fillId="5" borderId="8" applyAlignment="1" pivotButton="0" quotePrefix="0" xfId="0">
      <alignment vertical="top" wrapText="1"/>
    </xf>
    <xf numFmtId="1" fontId="3" fillId="5" borderId="9" applyAlignment="1" pivotButton="0" quotePrefix="0" xfId="0">
      <alignment vertical="top" wrapText="1"/>
    </xf>
    <xf numFmtId="167" fontId="3" fillId="5" borderId="9" applyAlignment="1" pivotButton="0" quotePrefix="0" xfId="0">
      <alignment vertical="top" wrapText="1"/>
    </xf>
    <xf numFmtId="0" fontId="1" fillId="2" borderId="40" applyAlignment="1" pivotButton="0" quotePrefix="0" xfId="0">
      <alignment vertical="center" wrapText="1"/>
    </xf>
    <xf numFmtId="0" fontId="0" fillId="0" borderId="31" pivotButton="0" quotePrefix="0" xfId="0"/>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166" fontId="3" fillId="5" borderId="8" applyAlignment="1" pivotButton="0" quotePrefix="0" xfId="0">
      <alignment vertical="top" wrapText="1"/>
    </xf>
    <xf numFmtId="166" fontId="3" fillId="5" borderId="9" applyAlignment="1" pivotButton="0" quotePrefix="0" xfId="0">
      <alignment vertical="top" wrapText="1"/>
    </xf>
    <xf numFmtId="0" fontId="3" fillId="7" borderId="43" applyAlignment="1" pivotButton="0" quotePrefix="0" xfId="0">
      <alignment vertical="top" wrapText="1"/>
    </xf>
    <xf numFmtId="0" fontId="0" fillId="0" borderId="37" pivotButton="0" quotePrefix="0" xfId="0"/>
    <xf numFmtId="0" fontId="0" fillId="0" borderId="20" pivotButton="0" quotePrefix="0" xfId="0"/>
    <xf numFmtId="0" fontId="0" fillId="0" borderId="21" pivotButton="0" quotePrefix="0" xfId="0"/>
    <xf numFmtId="0" fontId="0" fillId="0" borderId="22" pivotButton="0" quotePrefix="0" xfId="0"/>
    <xf numFmtId="0" fontId="0" fillId="0" borderId="10" pivotButton="0" quotePrefix="0" xfId="0"/>
    <xf numFmtId="1" fontId="6" fillId="6" borderId="8" applyAlignment="1" pivotButton="0" quotePrefix="0" xfId="0">
      <alignment horizontal="center" vertical="top" wrapText="1"/>
    </xf>
    <xf numFmtId="1" fontId="6" fillId="3" borderId="8" applyAlignment="1" pivotButton="0" quotePrefix="0" xfId="0">
      <alignment horizontal="center" vertical="top" wrapText="1"/>
    </xf>
    <xf numFmtId="1" fontId="6" fillId="6" borderId="9" applyAlignment="1" pivotButton="0" quotePrefix="0" xfId="0">
      <alignment horizontal="center" vertical="top" wrapText="1"/>
    </xf>
    <xf numFmtId="1" fontId="6" fillId="3" borderId="9" applyAlignment="1" pivotButton="0" quotePrefix="0" xfId="0">
      <alignment horizontal="center" vertical="top" wrapText="1"/>
    </xf>
    <xf numFmtId="164" fontId="3" fillId="5" borderId="8" applyAlignment="1" pivotButton="0" quotePrefix="0" xfId="0">
      <alignment vertical="top" wrapText="1"/>
    </xf>
    <xf numFmtId="164" fontId="3" fillId="5" borderId="9" applyAlignment="1" pivotButton="0" quotePrefix="0" xfId="0">
      <alignment vertical="top" wrapText="1"/>
    </xf>
  </cellXfs>
  <cellStyles count="1">
    <cellStyle name="Normal" xfId="0"/>
  </cellStyles>
  <dxfs count="17">
    <dxf>
      <font>
        <color rgb="FF28522B"/>
      </font>
      <fill>
        <patternFill patternType="solid">
          <bgColor rgb="FFDDEAD7"/>
        </patternFill>
      </fill>
    </dxf>
    <dxf>
      <font>
        <b val="1"/>
        <color rgb="FFA72621"/>
      </font>
      <fill>
        <patternFill patternType="solid">
          <bgColor rgb="FFFAD9D6"/>
        </patternFill>
      </fill>
    </dxf>
    <dxf>
      <font>
        <b val="1"/>
        <color rgb="FF171411"/>
      </font>
      <fill>
        <patternFill patternType="solid">
          <bgColor rgb="FFFFF0C7"/>
        </patternFill>
      </fill>
    </dxf>
    <dxf>
      <font>
        <b val="1"/>
        <color rgb="FF28522B"/>
      </font>
      <fill>
        <patternFill patternType="solid">
          <bgColor rgb="FFDDEAD7"/>
        </patternFill>
      </fill>
    </dxf>
    <dxf>
      <font>
        <b val="1"/>
        <color rgb="FFA72621"/>
      </font>
      <fill>
        <patternFill patternType="solid">
          <bgColor rgb="FFFAD9D6"/>
        </patternFill>
      </fill>
    </dxf>
    <dxf>
      <font>
        <b val="1"/>
        <color rgb="FFFFFDFC"/>
      </font>
      <fill>
        <patternFill patternType="solid">
          <bgColor rgb="FFE43A32"/>
        </patternFill>
      </fill>
    </dxf>
    <dxf>
      <font>
        <b val="1"/>
        <color rgb="FFA72621"/>
      </font>
      <fill>
        <patternFill patternType="solid">
          <bgColor rgb="FFF4B9B4"/>
        </patternFill>
      </fill>
    </dxf>
    <dxf>
      <font>
        <b val="1"/>
        <color rgb="FF171411"/>
      </font>
      <fill>
        <patternFill patternType="solid">
          <bgColor rgb="FFFFF0C7"/>
        </patternFill>
      </fill>
    </dxf>
    <dxf>
      <font>
        <b val="1"/>
        <color rgb="FF5D5752"/>
      </font>
      <fill>
        <patternFill patternType="solid">
          <bgColor rgb="FFE5E1DC"/>
        </patternFill>
      </fill>
    </dxf>
    <dxf>
      <font>
        <color rgb="FF5D5752"/>
      </font>
      <fill>
        <patternFill patternType="solid">
          <bgColor rgb="FFE5E1DC"/>
        </patternFill>
      </fill>
    </dxf>
    <dxf>
      <font>
        <b val="1"/>
        <color rgb="FF28522B"/>
      </font>
      <fill>
        <patternFill patternType="solid">
          <bgColor rgb="FFDDEAD7"/>
        </patternFill>
      </fill>
    </dxf>
    <dxf>
      <font>
        <b val="1"/>
        <color rgb="FF28522B"/>
      </font>
      <fill>
        <patternFill patternType="solid">
          <bgColor rgb="FFDDEAD7"/>
        </patternFill>
      </fill>
    </dxf>
    <dxf>
      <font>
        <b val="1"/>
        <color rgb="FFA72621"/>
      </font>
      <fill>
        <patternFill patternType="solid">
          <bgColor rgb="FFFAD9D6"/>
        </patternFill>
      </fill>
    </dxf>
    <dxf>
      <font>
        <color rgb="FF28522B"/>
      </font>
      <fill>
        <patternFill patternType="solid">
          <bgColor rgb="FFDDEAD7"/>
        </patternFill>
      </fill>
    </dxf>
    <dxf>
      <font>
        <b val="1"/>
        <color rgb="FF171411"/>
      </font>
      <fill>
        <patternFill patternType="solid">
          <bgColor rgb="FFFFF0C7"/>
        </patternFill>
      </fill>
    </dxf>
    <dxf>
      <font>
        <b val="1"/>
        <color rgb="FFFFFDFC"/>
      </font>
      <fill>
        <patternFill patternType="solid">
          <bgColor rgb="FF171411"/>
        </patternFill>
      </fill>
    </dxf>
    <dxf>
      <font>
        <b val="1"/>
        <color rgb="FF28522B"/>
      </font>
      <fill>
        <patternFill patternType="solid">
          <bgColor rgb="FFDDEAD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OutreachQueue" displayName="OutreachQueue" ref="A5:AK37" headerRowCount="1" totalsRowCount="0" totalsRowShown="0">
  <autoFilter ref="A5:AK37"/>
  <tableColumns count="37">
    <tableColumn id="1" name="Wave"/>
    <tableColumn id="2" name="Wave Variant"/>
    <tableColumn id="3" name="Stage"/>
    <tableColumn id="4" name="Group"/>
    <tableColumn id="5" name="Priority"/>
    <tableColumn id="6" name="Record Key"/>
    <tableColumn id="7" name="Match Score"/>
    <tableColumn id="8" name="Platform"/>
    <tableColumn id="9" name="Title"/>
    <tableColumn id="10" name="Budget"/>
    <tableColumn id="11" name="Competition"/>
    <tableColumn id="12" name="Posted"/>
    <tableColumn id="13" name="Observed Pain"/>
    <tableColumn id="14" name="Pilot Boundary"/>
    <tableColumn id="15" name="Copy-ready Outreach Message"/>
    <tableColumn id="16" name="Tracking Landing URL"/>
    <tableColumn id="17" name="Listing URL"/>
    <tableColumn id="18" name="Confidence / Red Flag"/>
    <tableColumn id="19" name="Sent Date"/>
    <tableColumn id="20" name="Page View"/>
    <tableColumn id="21" name="Reply Date"/>
    <tableColumn id="22" name="Objection"/>
    <tableColumn id="23" name="Notes"/>
    <tableColumn id="24" name="Qualification"/>
    <tableColumn id="25" name="Sales Path"/>
    <tableColumn id="26" name="Quoted Amount"/>
    <tableColumn id="27" name="Funded Amount"/>
    <tableColumn id="28" name="Archive Reason"/>
    <tableColumn id="29" name="Delivery Hours"/>
    <tableColumn id="30" name="Direct Cost"/>
    <tableColumn id="31" name="Gross Margin %"/>
    <tableColumn id="32" name="Next Follow-up"/>
    <tableColumn id="33" name="Send Batch"/>
    <tableColumn id="34" name="Live Check"/>
    <tableColumn id="35" name="Live Check Note"/>
    <tableColumn id="36" name="Checked At"/>
    <tableColumn id="37" name="Data Check"/>
  </tableColumns>
  <tableStyleInfo name="TableStyleMedium2" showFirstColumn="0" showLastColumn="0" showRowStripes="1" showColumnStripes="0"/>
</table>
</file>

<file path=xl/tables/table2.xml><?xml version="1.0" encoding="utf-8"?>
<table xmlns="http://schemas.openxmlformats.org/spreadsheetml/2006/main" id="2" name="ExperimentDesign" displayName="ExperimentDesign" ref="A5:N10" headerRowCount="1" totalsRowCount="0" totalsRowShown="0">
  <autoFilter ref="A5:N10"/>
  <tableColumns count="14">
    <tableColumn id="1" name="Priority"/>
    <tableColumn id="2" name="Group"/>
    <tableColumn id="3" name="Honest Offer"/>
    <tableColumn id="4" name="Hero"/>
    <tableColumn id="5" name="Pilot Boundary"/>
    <tableColumn id="6" name="Target Count"/>
    <tableColumn id="7" name="Wave 1"/>
    <tableColumn id="8" name="Landing Link"/>
    <tableColumn id="9" name="No-Link Diagnostic"/>
    <tableColumn id="10" name="Hold"/>
    <tableColumn id="11" name="Landing URL"/>
    <tableColumn id="12" name="Success Metrics"/>
    <tableColumn id="13" name="Platform CTA"/>
    <tableColumn id="14" name="Holdout Rule"/>
  </tableColumns>
  <tableStyleInfo name="TableStyleMedium2" showFirstColumn="0" showLastColumn="0" showRowStripes="1" showColumnStripes="0"/>
</table>
</file>

<file path=xl/tables/table3.xml><?xml version="1.0" encoding="utf-8"?>
<table xmlns="http://schemas.openxmlformats.org/spreadsheetml/2006/main" id="3" name="SourceLedger" displayName="SourceLedger" ref="A5:E27" headerRowCount="1" totalsRowCount="0" totalsRowShown="0">
  <autoFilter ref="A5:E27"/>
  <tableColumns count="5">
    <tableColumn id="1" name="Source Type"/>
    <tableColumn id="2" name="Source"/>
    <tableColumn id="3" name="URL"/>
    <tableColumn id="4" name="Role in Decision"/>
    <tableColumn id="5" name="Snapshot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AK37"/>
  <sheetViews>
    <sheetView showGridLines="0" workbookViewId="0">
      <selection activeCell="A1" sqref="A1"/>
    </sheetView>
  </sheetViews>
  <sheetFormatPr baseColWidth="8" defaultRowHeight="15"/>
  <cols>
    <col width="8.439999580383301" customWidth="1" min="1" max="1"/>
    <col width="15.77999973297119" customWidth="1" min="2" max="2"/>
    <col width="10.22000026702881" customWidth="1" min="3" max="3"/>
    <col width="18.88999938964844" customWidth="1" min="4" max="4"/>
    <col width="7.559999942779541" customWidth="1" min="5" max="5"/>
    <col width="20.55999946594238" customWidth="1" min="6" max="6"/>
    <col width="8.890000343322754" customWidth="1" min="7" max="7"/>
    <col width="8" customWidth="1" min="8" max="8"/>
    <col width="27.78000068664551" customWidth="1" min="9" max="9"/>
    <col width="14.4399995803833" customWidth="1" min="10" max="10"/>
    <col width="10.22000026702881" customWidth="1" min="11" max="11"/>
    <col width="10" customWidth="1" min="12" max="12"/>
    <col width="33.33000183105469" customWidth="1" min="13" max="13"/>
    <col width="34.43999862670898" customWidth="1" min="14" max="14"/>
    <col width="43.33000183105469" customWidth="1" min="15" max="15"/>
    <col width="33.33000183105469" customWidth="1" min="16" max="16"/>
    <col width="34.43999862670898" customWidth="1" min="17" max="17"/>
    <col width="30" customWidth="1" min="18" max="18"/>
    <col width="10.67000007629395" customWidth="1" min="19" max="19"/>
    <col width="9.560000419616699" customWidth="1" min="20" max="20"/>
    <col width="10.67000007629395" customWidth="1" min="21" max="21"/>
    <col width="24.44000053405762" customWidth="1" min="22" max="22"/>
    <col width="24.44000053405762" customWidth="1" min="23" max="23"/>
    <col width="14.22000026702881" customWidth="1" min="24" max="24"/>
    <col width="12.4399995803833" customWidth="1" min="25" max="25"/>
    <col width="11.67000007629395" customWidth="1" min="26" max="26"/>
    <col width="11.67000007629395" customWidth="1" min="27" max="27"/>
    <col width="20" customWidth="1" min="28" max="28"/>
    <col width="10.67000007629395" customWidth="1" min="29" max="29"/>
    <col width="11.67000007629395" customWidth="1" min="30" max="30"/>
    <col width="11.10999965667725" customWidth="1" min="31" max="31"/>
    <col width="12" customWidth="1" min="32" max="32"/>
    <col width="10" customWidth="1" min="33" max="33"/>
    <col width="12.22000026702881" customWidth="1" min="34" max="34"/>
    <col width="34.43999862670898" customWidth="1" min="35" max="35"/>
    <col width="15.5600004196167" customWidth="1" min="36" max="36"/>
    <col width="21.11000061035156" customWidth="1" min="37" max="37"/>
  </cols>
  <sheetData>
    <row r="1" ht="24" customHeight="1">
      <c r="A1" s="9" t="inlineStr">
        <is>
          <t>Dali marketplace outreach queue</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row>
    <row r="2" ht="24" customHeight="1">
      <c r="A2" s="17" t="inlineStr">
        <is>
          <t>32 source-backed targets. Wave 1 originally planned 24 proposals; one Batch A listing was verified closed, leaving 23 currently sendable. This is a presale learning wave, not a causal test of landing-page lift.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row>
    <row r="3" ht="22.5" customHeight="1">
      <c r="A3" s="25" t="inlineStr">
        <is>
          <t>Editable cells are pale yellow. Priority, Send Batch, live check, gross margin, and Data Check are system-driven. Landing links contain only an opaque marketplace reference; no-link diagnostic rows must not receive a page URL. In Vercel Analytics, ref=uw-ID maps to /_ref/upwork-ID and ref=fl-ID maps to /_ref/fl-ID. Mark Page View Yes only after that path appears. Recheck every listing in-platform before sending. Do not begin work until the selected blueprint or pilot milestone is accepted and funded.</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row>
    <row r="4"/>
    <row r="5" ht="33" customHeight="1">
      <c r="A5" s="44" t="inlineStr">
        <is>
          <t>Wave</t>
        </is>
      </c>
      <c r="B5" s="45" t="inlineStr">
        <is>
          <t>Wave Variant</t>
        </is>
      </c>
      <c r="C5" s="45" t="inlineStr">
        <is>
          <t>Stage</t>
        </is>
      </c>
      <c r="D5" s="45" t="inlineStr">
        <is>
          <t>Group</t>
        </is>
      </c>
      <c r="E5" s="45" t="inlineStr">
        <is>
          <t>Priority</t>
        </is>
      </c>
      <c r="F5" s="45" t="inlineStr">
        <is>
          <t>Record Key</t>
        </is>
      </c>
      <c r="G5" s="45" t="inlineStr">
        <is>
          <t>Match Score</t>
        </is>
      </c>
      <c r="H5" s="45" t="inlineStr">
        <is>
          <t>Platform</t>
        </is>
      </c>
      <c r="I5" s="45" t="inlineStr">
        <is>
          <t>Title</t>
        </is>
      </c>
      <c r="J5" s="45" t="inlineStr">
        <is>
          <t>Budget</t>
        </is>
      </c>
      <c r="K5" s="45" t="inlineStr">
        <is>
          <t>Competition</t>
        </is>
      </c>
      <c r="L5" s="45" t="inlineStr">
        <is>
          <t>Posted</t>
        </is>
      </c>
      <c r="M5" s="45" t="inlineStr">
        <is>
          <t>Observed Pain</t>
        </is>
      </c>
      <c r="N5" s="45" t="inlineStr">
        <is>
          <t>Pilot Boundary</t>
        </is>
      </c>
      <c r="O5" s="45" t="inlineStr">
        <is>
          <t>Copy-ready Outreach Message</t>
        </is>
      </c>
      <c r="P5" s="45" t="inlineStr">
        <is>
          <t>Tracking Landing URL</t>
        </is>
      </c>
      <c r="Q5" s="45" t="inlineStr">
        <is>
          <t>Listing URL</t>
        </is>
      </c>
      <c r="R5" s="45" t="inlineStr">
        <is>
          <t>Confidence / Red Flag</t>
        </is>
      </c>
      <c r="S5" s="45" t="inlineStr">
        <is>
          <t>Sent Date</t>
        </is>
      </c>
      <c r="T5" s="45" t="inlineStr">
        <is>
          <t>Page View</t>
        </is>
      </c>
      <c r="U5" s="45" t="inlineStr">
        <is>
          <t>Reply Date</t>
        </is>
      </c>
      <c r="V5" s="45" t="inlineStr">
        <is>
          <t>Objection</t>
        </is>
      </c>
      <c r="W5" s="45" t="inlineStr">
        <is>
          <t>Notes</t>
        </is>
      </c>
      <c r="X5" s="45" t="inlineStr">
        <is>
          <t>Qualification</t>
        </is>
      </c>
      <c r="Y5" s="45" t="inlineStr">
        <is>
          <t>Sales Path</t>
        </is>
      </c>
      <c r="Z5" s="45" t="inlineStr">
        <is>
          <t>Quoted Amount</t>
        </is>
      </c>
      <c r="AA5" s="45" t="inlineStr">
        <is>
          <t>Funded Amount</t>
        </is>
      </c>
      <c r="AB5" s="45" t="inlineStr">
        <is>
          <t>Archive Reason</t>
        </is>
      </c>
      <c r="AC5" s="45" t="inlineStr">
        <is>
          <t>Delivery Hours</t>
        </is>
      </c>
      <c r="AD5" s="45" t="inlineStr">
        <is>
          <t>Direct Cost</t>
        </is>
      </c>
      <c r="AE5" s="45" t="inlineStr">
        <is>
          <t>Gross Margin %</t>
        </is>
      </c>
      <c r="AF5" s="45" t="inlineStr">
        <is>
          <t>Next Follow-up</t>
        </is>
      </c>
      <c r="AG5" s="45" t="inlineStr">
        <is>
          <t>Send Batch</t>
        </is>
      </c>
      <c r="AH5" s="45" t="inlineStr">
        <is>
          <t>Live Check</t>
        </is>
      </c>
      <c r="AI5" s="45" t="inlineStr">
        <is>
          <t>Live Check Note</t>
        </is>
      </c>
      <c r="AJ5" s="45" t="inlineStr">
        <is>
          <t>Checked At</t>
        </is>
      </c>
      <c r="AK5" s="46" t="inlineStr">
        <is>
          <t>Data Check</t>
        </is>
      </c>
    </row>
    <row r="6" ht="210" customHeight="1">
      <c r="A6" s="62" t="inlineStr">
        <is>
          <t>Wave 1</t>
        </is>
      </c>
      <c r="B6" s="62" t="inlineStr">
        <is>
          <t>Landing Link</t>
        </is>
      </c>
      <c r="C6" s="102" t="inlineStr">
        <is>
          <t>Not Sent</t>
        </is>
      </c>
      <c r="D6" s="62" t="inlineStr">
        <is>
          <t>Lead Response</t>
        </is>
      </c>
      <c r="E6" s="198">
        <f>IF(G6&gt;=90,"A",IF(G6&gt;=80,"B",IF(G6&gt;=70,"C","D")))</f>
        <v/>
      </c>
      <c r="F6" s="62" t="inlineStr">
        <is>
          <t>Upwork:~022079500683280398086</t>
        </is>
      </c>
      <c r="G6" s="390" t="n">
        <v>95</v>
      </c>
      <c r="H6" s="62" t="inlineStr">
        <is>
          <t>Upwork</t>
        </is>
      </c>
      <c r="I6" s="62" t="inlineStr">
        <is>
          <t>Agentic AI Automation Engineer</t>
        </is>
      </c>
      <c r="J6" s="62" t="inlineStr">
        <is>
          <t>Hourly: $40.00 - $75.00</t>
        </is>
      </c>
      <c r="K6" s="62" t="inlineStr">
        <is>
          <t>50+</t>
        </is>
      </c>
      <c r="L6" s="62" t="inlineStr">
        <is>
          <t>last week</t>
        </is>
      </c>
      <c r="M6" s="62" t="inlineStr">
        <is>
          <t>Manual lead intake, CRM updates, and follow-up need to become a reliable agentic process that extracts, classifies, updates CRM, sends a summary, and escalates uncertain cases.</t>
        </is>
      </c>
      <c r="N6" s="62" t="inlineStr">
        <is>
          <t>One lead source cluster, one first-reply playbook, one CRM or calendar action path, and visible human approval; exclude outbound prospecting and autonomous pricing.</t>
        </is>
      </c>
      <c r="O6" s="62" t="inlineStr">
        <is>
          <t>You want manual lead intake, CRM updates, and follow-up turned into a reliable agentic process with extraction, classification, summaries, and human handoff.
We already have a production-ready product core for this at Dali Agency (lead-response core): intake → extract/classify → CRM or calendar action → draft or first reply → human approval on uncertain/pricing cases.
We are not starting from a blank repo. The paid work is customization under your stack: your lead sources, CRM fields, qualification rules, and which cases must always stop for a person.
First customization pilot I would lock: one lead source cluster, one first-reply playbook, one CRM/calendar action, visible approval on uncertain cases.
Packaged boundary + how we run that pilot: https://dali.agents.ge/for/upwork/lead-response?ref=uw-022079500683280398086
If that matches, reply here in Upwork with primary intake channel, CRM, and the lead classes that must always wait for a person. I will confirm fit and send a fixed pilot milestone (or a short paid blueprint if scope is still loose) before any implementation starts.</t>
        </is>
      </c>
      <c r="P6" s="62" t="inlineStr">
        <is>
          <t>https://dali.agents.ge/for/upwork/lead-response?ref=uw-022079500683280398086</t>
        </is>
      </c>
      <c r="Q6" s="62" t="inlineStr">
        <is>
          <t>https://www.upwork.com/jobs/span-class-highlight-Agentic-span-span-class-highlight-span-span-class-highlight-Automation-span-Engineer_~022079500683280398086/?referrer_url_path=/nx/search/jobs/</t>
        </is>
      </c>
      <c r="R6" s="62" t="inlineStr">
        <is>
          <t>High confidence; 50+ proposals and a mismatch between metadata hours and description hours.</t>
        </is>
      </c>
      <c r="S6" s="391" t="n"/>
      <c r="T6" s="102" t="inlineStr">
        <is>
          <t>Unknown</t>
        </is>
      </c>
      <c r="U6" s="391" t="n"/>
      <c r="V6" s="102" t="n"/>
      <c r="W6" s="102" t="n"/>
      <c r="X6" s="102" t="inlineStr">
        <is>
          <t>Not Evaluated</t>
        </is>
      </c>
      <c r="Y6" s="102" t="inlineStr">
        <is>
          <t>Unassigned</t>
        </is>
      </c>
      <c r="Z6" s="392" t="n"/>
      <c r="AA6" s="392" t="n"/>
      <c r="AB6" s="102" t="n"/>
      <c r="AC6" s="393" t="n"/>
      <c r="AD6" s="392" t="n"/>
      <c r="AE6" s="394">
        <f>IFERROR((AA6-AD6)/AA6,"")</f>
        <v/>
      </c>
      <c r="AF6" s="391" t="n"/>
      <c r="AG6" s="118" t="inlineStr">
        <is>
          <t>Batch B</t>
        </is>
      </c>
      <c r="AH6" s="126" t="inlineStr">
        <is>
          <t>Manual Check</t>
        </is>
      </c>
      <c r="AI6" s="122" t="inlineStr">
        <is>
          <t>Anonymous direct page was blocked by a Cloudflare challenge. Verify open status and scope inside Upwork.</t>
        </is>
      </c>
      <c r="AJ6" s="122" t="inlineStr">
        <is>
          <t>2026-07-30 03:13 +04</t>
        </is>
      </c>
      <c r="AK6" s="138">
        <f>IF(AND(U6&lt;&gt;"",S6=""),"WARN: Reply date without sent date",IF(AND(OR(C6="Sent",C6="Replied",C6="Qualified",C6="Blueprint Proposed",C6="Pilot Proposed",C6="Blueprint Funded",C6="Pilot Funded",C6="Won"),S6=""),"WARN: Stage requires sent date",IF(AND(OR(C6="Replied",C6="Qualified",C6="Blueprint Proposed",C6="Pilot Proposed",C6="Blueprint Funded",C6="Pilot Funded",C6="Won"),U6=""),"WARN: Stage requires reply date",IF(AND(X6="Qualified",U6=""),"WARN: Qualified without reply date",IF(AND(C6="Qualified",X6&lt;&gt;"Qualified"),"WARN: Qualified stage mismatch",IF(AND(X6="Qualified",NOT(OR(C6="Qualified",C6="Blueprint Proposed",C6="Pilot Proposed",C6="Blueprint Funded",C6="Pilot Funded",C6="Won"))),"WARN: Qualified value stage mismatch",IF(AND(Z6&gt;0,NOT(OR(Y6="Blueprint",Y6="Direct Pilot"))),"WARN: Quote without sales path",IF(AND(OR(C6="Blueprint Proposed",C6="Blueprint Funded"),Y6&lt;&gt;"Blueprint"),"WARN: Blueprint stage path mismatch",IF(AND(OR(C6="Pilot Proposed",C6="Pilot Funded"),Y6&lt;&gt;"Direct Pilot"),"WARN: Pilot stage path mismatch",IF(AND(OR(C6="Blueprint Proposed",C6="Pilot Proposed",C6="Blueprint Funded",C6="Pilot Funded",C6="Won"),Z6&lt;=0),"WARN: Offer stage without quote",IF(AND(Z6&gt;0,NOT(OR(C6="Blueprint Proposed",C6="Pilot Proposed",C6="Blueprint Funded",C6="Pilot Funded",C6="Won"))),"WARN: Quote stage mismatch",IF(AND(AA6&gt;0,Z6&lt;=0),"WARN: Funded without quote",IF(AND(OR(C6="Blueprint Funded",C6="Pilot Funded",C6="Won"),AA6&lt;=0),"WARN: Funded stage without amount",IF(AND(AA6&gt;0,NOT(OR(C6="Blueprint Funded",C6="Pilot Funded",C6="Won"))),"WARN: Funded value stage mismatch","OK"))))))))))))))</f>
        <v/>
      </c>
    </row>
    <row r="7" ht="210" customHeight="1">
      <c r="A7" s="63" t="inlineStr">
        <is>
          <t>Wave 1</t>
        </is>
      </c>
      <c r="B7" s="63" t="inlineStr">
        <is>
          <t>Landing Link</t>
        </is>
      </c>
      <c r="C7" s="103" t="inlineStr">
        <is>
          <t>Not Sent</t>
        </is>
      </c>
      <c r="D7" s="63" t="inlineStr">
        <is>
          <t>Lead Response</t>
        </is>
      </c>
      <c r="E7" s="199">
        <f>IF(G7&gt;=90,"A",IF(G7&gt;=80,"B",IF(G7&gt;=70,"C","D")))</f>
        <v/>
      </c>
      <c r="F7" s="63" t="inlineStr">
        <is>
          <t>Upwork:~022082094672185738150</t>
        </is>
      </c>
      <c r="G7" s="395" t="n">
        <v>95</v>
      </c>
      <c r="H7" s="63" t="inlineStr">
        <is>
          <t>Upwork</t>
        </is>
      </c>
      <c r="I7" s="63" t="inlineStr">
        <is>
          <t>AI Agent / CRM System Setup</t>
        </is>
      </c>
      <c r="J7" s="63" t="inlineStr">
        <is>
          <t>Hourly: $22-$29</t>
        </is>
      </c>
      <c r="K7" s="63" t="inlineStr">
        <is>
          <t>50+</t>
        </is>
      </c>
      <c r="L7" s="63" t="inlineStr">
        <is>
          <t>4 hours ago</t>
        </is>
      </c>
      <c r="M7" s="63" t="inlineStr">
        <is>
          <t>Follow-up across Gmail, Monday, and Slack must keep replies, history, next contact, reminders, summaries, and drafts in sync while blocking duplicates and do-not-contact contacts.</t>
        </is>
      </c>
      <c r="N7" s="63" t="inlineStr">
        <is>
          <t>One inbound communication flow, one history store, one next-contact rule, and one reminder or draft output; exclude broader CRM redesign.</t>
        </is>
      </c>
      <c r="O7" s="63" t="inlineStr">
        <is>
          <t>Your brief is follow-up automation across Gmail, Monday, and Slack: reply tracking, next-contact history, reminders, and draft emails without duplicates or do-not-contact misses.
We already have a production-ready product core for this at Dali Agency (lead-response core): intake → extract/classify → CRM or calendar action → draft or first reply → human approval on uncertain/pricing cases.
We are not starting from a blank repo. The paid work is customization under your stack: your lead sources, CRM fields, qualification rules, and which cases must always stop for a person.
First customization pilot I would lock: one inbound communication flow, one history store, one next-contact rule, and one reminder or draft path with human approval on sensitive sends.
Packaged boundary + how we run that pilot: https://dali.agents.ge/for/upwork/lead-response?ref=uw-022082094672185738150
If that matches, reply here in Upwork with primary intake channel, CRM, and the lead classes that must always wait for a person. I will confirm fit and send a fixed pilot milestone (or a short paid blueprint if scope is still loose) before any implementation starts.</t>
        </is>
      </c>
      <c r="P7" s="63" t="inlineStr">
        <is>
          <t>https://dali.agents.ge/for/upwork/lead-response?ref=uw-022082094672185738150</t>
        </is>
      </c>
      <c r="Q7" s="63" t="inlineStr">
        <is>
          <t>https://www.upwork.com/jobs/Agent-CRM-System-Setup_~022082094672185738150/?referrer_url_path=find_work_home</t>
        </is>
      </c>
      <c r="R7" s="63" t="inlineStr">
        <is>
          <t>High confidence; integrations and API permissions are not pinned down, with 50+ proposals and a low rate.</t>
        </is>
      </c>
      <c r="S7" s="396" t="n"/>
      <c r="T7" s="103" t="inlineStr">
        <is>
          <t>Unknown</t>
        </is>
      </c>
      <c r="U7" s="396" t="n"/>
      <c r="V7" s="103" t="n"/>
      <c r="W7" s="103" t="n"/>
      <c r="X7" s="103" t="inlineStr">
        <is>
          <t>Not Evaluated</t>
        </is>
      </c>
      <c r="Y7" s="103" t="inlineStr">
        <is>
          <t>Unassigned</t>
        </is>
      </c>
      <c r="Z7" s="397" t="n"/>
      <c r="AA7" s="397" t="n"/>
      <c r="AB7" s="103" t="n"/>
      <c r="AC7" s="398" t="n"/>
      <c r="AD7" s="397" t="n"/>
      <c r="AE7" s="399">
        <f>IFERROR((AA7-AD7)/AA7,"")</f>
        <v/>
      </c>
      <c r="AF7" s="396" t="n"/>
      <c r="AG7" s="119" t="inlineStr">
        <is>
          <t>Batch A</t>
        </is>
      </c>
      <c r="AH7" s="127" t="inlineStr">
        <is>
          <t>Manual Check</t>
        </is>
      </c>
      <c r="AI7" s="123" t="inlineStr">
        <is>
          <t>Anonymous Upwork view exposed a private-listing status but not the brief. Confirm inside the working account; skip if it remains private.</t>
        </is>
      </c>
      <c r="AJ7" s="123" t="inlineStr">
        <is>
          <t>2026-07-30 03:15 +04</t>
        </is>
      </c>
      <c r="AK7" s="139">
        <f>IF(AND(U7&lt;&gt;"",S7=""),"WARN: Reply date without sent date",IF(AND(OR(C7="Sent",C7="Replied",C7="Qualified",C7="Blueprint Proposed",C7="Pilot Proposed",C7="Blueprint Funded",C7="Pilot Funded",C7="Won"),S7=""),"WARN: Stage requires sent date",IF(AND(OR(C7="Replied",C7="Qualified",C7="Blueprint Proposed",C7="Pilot Proposed",C7="Blueprint Funded",C7="Pilot Funded",C7="Won"),U7=""),"WARN: Stage requires reply date",IF(AND(X7="Qualified",U7=""),"WARN: Qualified without reply date",IF(AND(C7="Qualified",X7&lt;&gt;"Qualified"),"WARN: Qualified stage mismatch",IF(AND(X7="Qualified",NOT(OR(C7="Qualified",C7="Blueprint Proposed",C7="Pilot Proposed",C7="Blueprint Funded",C7="Pilot Funded",C7="Won"))),"WARN: Qualified value stage mismatch",IF(AND(Z7&gt;0,NOT(OR(Y7="Blueprint",Y7="Direct Pilot"))),"WARN: Quote without sales path",IF(AND(OR(C7="Blueprint Proposed",C7="Blueprint Funded"),Y7&lt;&gt;"Blueprint"),"WARN: Blueprint stage path mismatch",IF(AND(OR(C7="Pilot Proposed",C7="Pilot Funded"),Y7&lt;&gt;"Direct Pilot"),"WARN: Pilot stage path mismatch",IF(AND(OR(C7="Blueprint Proposed",C7="Pilot Proposed",C7="Blueprint Funded",C7="Pilot Funded",C7="Won"),Z7&lt;=0),"WARN: Offer stage without quote",IF(AND(Z7&gt;0,NOT(OR(C7="Blueprint Proposed",C7="Pilot Proposed",C7="Blueprint Funded",C7="Pilot Funded",C7="Won"))),"WARN: Quote stage mismatch",IF(AND(AA7&gt;0,Z7&lt;=0),"WARN: Funded without quote",IF(AND(OR(C7="Blueprint Funded",C7="Pilot Funded",C7="Won"),AA7&lt;=0),"WARN: Funded stage without amount",IF(AND(AA7&gt;0,NOT(OR(C7="Blueprint Funded",C7="Pilot Funded",C7="Won"))),"WARN: Funded value stage mismatch","OK"))))))))))))))</f>
        <v/>
      </c>
    </row>
    <row r="8" ht="210" customHeight="1">
      <c r="A8" s="63" t="inlineStr">
        <is>
          <t>Wave 1</t>
        </is>
      </c>
      <c r="B8" s="63" t="inlineStr">
        <is>
          <t>Landing Link</t>
        </is>
      </c>
      <c r="C8" s="103" t="inlineStr">
        <is>
          <t>Not Sent</t>
        </is>
      </c>
      <c r="D8" s="63" t="inlineStr">
        <is>
          <t>Lead Response</t>
        </is>
      </c>
      <c r="E8" s="199">
        <f>IF(G8&gt;=90,"A",IF(G8&gt;=80,"B",IF(G8&gt;=70,"C","D")))</f>
        <v/>
      </c>
      <c r="F8" s="63" t="inlineStr">
        <is>
          <t>Upwork:~022080272851686168921</t>
        </is>
      </c>
      <c r="G8" s="395" t="n">
        <v>90</v>
      </c>
      <c r="H8" s="63" t="inlineStr">
        <is>
          <t>Upwork</t>
        </is>
      </c>
      <c r="I8" s="63" t="inlineStr">
        <is>
          <t>AI Agent Developer for Field Service Operations Automation</t>
        </is>
      </c>
      <c r="J8" s="63" t="inlineStr">
        <is>
          <t>$550.00</t>
        </is>
      </c>
      <c r="K8" s="63" t="inlineStr">
        <is>
          <t>50+</t>
        </is>
      </c>
      <c r="L8" s="63" t="inlineStr">
        <is>
          <t>5 days ago</t>
        </is>
      </c>
      <c r="M8" s="63" t="inlineStr">
        <is>
          <t>Field service operations need an agent to read email and forms, classify urgency and location, update CRM, select time and specialist, draft replies, remind, and escalate risk.</t>
        </is>
      </c>
      <c r="N8" s="63" t="inlineStr">
        <is>
          <t>One intake path to one CRM update and one scheduling or review path, with approval and audit logs.</t>
        </is>
      </c>
      <c r="O8" s="63" t="inlineStr">
        <is>
          <t>Field service ops need an agent that reads email/forms, classifies urgency and location, updates CRM, schedules, drafts replies, and escalates risk.
We already have a production-ready product core for this at Dali Agency (lead-response core): intake → extract/classify → CRM or calendar action → draft or first reply → human approval on uncertain/pricing cases.
We are not starting from a blank repo. The paid work is customization under your stack: your lead sources, CRM fields, qualification rules, and which cases must always stop for a person.
First customization pilot I would lock: one intake path → one CRM update → one scheduling/review path with approval and audit logs.
Packaged boundary + how we run that pilot: https://dali.agents.ge/for/upwork/lead-response?ref=uw-022080272851686168921
If that matches, reply here in Upwork with primary intake channel, CRM, and the lead classes that must always wait for a person. I will confirm fit and send a fixed pilot milestone (or a short paid blueprint if scope is still loose) before any implementation starts.</t>
        </is>
      </c>
      <c r="P8" s="63" t="inlineStr">
        <is>
          <t>https://dali.agents.ge/for/upwork/lead-response?ref=uw-022080272851686168921</t>
        </is>
      </c>
      <c r="Q8" s="63" t="inlineStr">
        <is>
          <t>https://www.upwork.com/jobs/span-class-highlight-span-span-class-highlight-Agent-span-Developer-for-Field-Service-Operations-span-class-highlight-Automation-span_~022080272851686168921/?referrer_url_path=/nx/search/jobs/</t>
        </is>
      </c>
      <c r="R8" s="63" t="inlineStr">
        <is>
          <t>High confidence; a low fixed budget for Phase 1 and 50+ applicants.</t>
        </is>
      </c>
      <c r="S8" s="396" t="n"/>
      <c r="T8" s="103" t="inlineStr">
        <is>
          <t>Unknown</t>
        </is>
      </c>
      <c r="U8" s="396" t="n"/>
      <c r="V8" s="103" t="n"/>
      <c r="W8" s="103" t="n"/>
      <c r="X8" s="103" t="inlineStr">
        <is>
          <t>Not Evaluated</t>
        </is>
      </c>
      <c r="Y8" s="103" t="inlineStr">
        <is>
          <t>Unassigned</t>
        </is>
      </c>
      <c r="Z8" s="397" t="n"/>
      <c r="AA8" s="397" t="n"/>
      <c r="AB8" s="103" t="n"/>
      <c r="AC8" s="398" t="n"/>
      <c r="AD8" s="397" t="n"/>
      <c r="AE8" s="399">
        <f>IFERROR((AA8-AD8)/AA8,"")</f>
        <v/>
      </c>
      <c r="AF8" s="396" t="n"/>
      <c r="AG8" s="119" t="inlineStr">
        <is>
          <t>Batch B</t>
        </is>
      </c>
      <c r="AH8" s="127" t="inlineStr">
        <is>
          <t>Manual Check</t>
        </is>
      </c>
      <c r="AI8" s="123" t="inlineStr">
        <is>
          <t>Anonymous direct page was blocked by a Cloudflare challenge. Verify open status and scope inside Upwork.</t>
        </is>
      </c>
      <c r="AJ8" s="123" t="inlineStr">
        <is>
          <t>2026-07-30 03:13 +04</t>
        </is>
      </c>
      <c r="AK8" s="139">
        <f>IF(AND(U8&lt;&gt;"",S8=""),"WARN: Reply date without sent date",IF(AND(OR(C8="Sent",C8="Replied",C8="Qualified",C8="Blueprint Proposed",C8="Pilot Proposed",C8="Blueprint Funded",C8="Pilot Funded",C8="Won"),S8=""),"WARN: Stage requires sent date",IF(AND(OR(C8="Replied",C8="Qualified",C8="Blueprint Proposed",C8="Pilot Proposed",C8="Blueprint Funded",C8="Pilot Funded",C8="Won"),U8=""),"WARN: Stage requires reply date",IF(AND(X8="Qualified",U8=""),"WARN: Qualified without reply date",IF(AND(C8="Qualified",X8&lt;&gt;"Qualified"),"WARN: Qualified stage mismatch",IF(AND(X8="Qualified",NOT(OR(C8="Qualified",C8="Blueprint Proposed",C8="Pilot Proposed",C8="Blueprint Funded",C8="Pilot Funded",C8="Won"))),"WARN: Qualified value stage mismatch",IF(AND(Z8&gt;0,NOT(OR(Y8="Blueprint",Y8="Direct Pilot"))),"WARN: Quote without sales path",IF(AND(OR(C8="Blueprint Proposed",C8="Blueprint Funded"),Y8&lt;&gt;"Blueprint"),"WARN: Blueprint stage path mismatch",IF(AND(OR(C8="Pilot Proposed",C8="Pilot Funded"),Y8&lt;&gt;"Direct Pilot"),"WARN: Pilot stage path mismatch",IF(AND(OR(C8="Blueprint Proposed",C8="Pilot Proposed",C8="Blueprint Funded",C8="Pilot Funded",C8="Won"),Z8&lt;=0),"WARN: Offer stage without quote",IF(AND(Z8&gt;0,NOT(OR(C8="Blueprint Proposed",C8="Pilot Proposed",C8="Blueprint Funded",C8="Pilot Funded",C8="Won"))),"WARN: Quote stage mismatch",IF(AND(AA8&gt;0,Z8&lt;=0),"WARN: Funded without quote",IF(AND(OR(C8="Blueprint Funded",C8="Pilot Funded",C8="Won"),AA8&lt;=0),"WARN: Funded stage without amount",IF(AND(AA8&gt;0,NOT(OR(C8="Blueprint Funded",C8="Pilot Funded",C8="Won"))),"WARN: Funded value stage mismatch","OK"))))))))))))))</f>
        <v/>
      </c>
    </row>
    <row r="9" ht="210" customHeight="1">
      <c r="A9" s="63" t="inlineStr">
        <is>
          <t>Wave 1</t>
        </is>
      </c>
      <c r="B9" s="63" t="inlineStr">
        <is>
          <t>Landing Link</t>
        </is>
      </c>
      <c r="C9" s="103" t="inlineStr">
        <is>
          <t>Not Sent</t>
        </is>
      </c>
      <c r="D9" s="63" t="inlineStr">
        <is>
          <t>Lead Response</t>
        </is>
      </c>
      <c r="E9" s="199">
        <f>IF(G9&gt;=90,"A",IF(G9&gt;=80,"B",IF(G9&gt;=70,"C","D")))</f>
        <v/>
      </c>
      <c r="F9" s="63" t="inlineStr">
        <is>
          <t>Upwork:~022076935615291863294</t>
        </is>
      </c>
      <c r="G9" s="395" t="n">
        <v>90</v>
      </c>
      <c r="H9" s="63" t="inlineStr">
        <is>
          <t>Upwork</t>
        </is>
      </c>
      <c r="I9" s="63" t="inlineStr">
        <is>
          <t>Ai Automation for marketing agency</t>
        </is>
      </c>
      <c r="J9" s="63" t="inlineStr">
        <is>
          <t>$900.00</t>
        </is>
      </c>
      <c r="K9" s="63" t="inlineStr">
        <is>
          <t>50+</t>
        </is>
      </c>
      <c r="L9" s="63" t="inlineStr">
        <is>
          <t>2 weeks ago</t>
        </is>
      </c>
      <c r="M9" s="63" t="inlineStr">
        <is>
          <t>A marketing agency wants AI tied into CRM, email, and project management to qualify leads, support bookings, prepare proposals, and handle handoffs.</t>
        </is>
      </c>
      <c r="N9" s="63" t="inlineStr">
        <is>
          <t>One workflow, preferably lead qualification or support handoff, with one acceptance test and expansion only after validation.</t>
        </is>
      </c>
      <c r="O9" s="63" t="inlineStr">
        <is>
          <t>Your agency wants AI tied into CRM, email, and PM for lead qualification, bookings, proposals, and handoffs - starting small is the right call.
We already have a production-ready product core for this at Dali Agency (lead-response core): intake → extract/classify → CRM or calendar action → draft or first reply → human approval on uncertain/pricing cases.
We are not starting from a blank repo. The paid work is customization under your stack: your lead sources, CRM fields, qualification rules, and which cases must always stop for a person.
First customization pilot I would lock: one CRM-connected pilot workflow, one acceptance test, one handoff path before proposals or wider automation.
Packaged boundary + how we run that pilot: https://dali.agents.ge/for/upwork/lead-response?ref=uw-022076935615291863294
If that matches, reply here in Upwork with primary intake channel, CRM, and the lead classes that must always wait for a person. I will confirm fit and send a fixed pilot milestone (or a short paid blueprint if scope is still loose) before any implementation starts.</t>
        </is>
      </c>
      <c r="P9" s="63" t="inlineStr">
        <is>
          <t>https://dali.agents.ge/for/upwork/lead-response?ref=uw-022076935615291863294</t>
        </is>
      </c>
      <c r="Q9" s="63" t="inlineStr">
        <is>
          <t>https://www.upwork.com/jobs/span-class-highlight-span-span-class-highlight-Automation-span-for-marketing-agency_~022076935615291863294/?referrer_url_path=/nx/search/jobs/</t>
        </is>
      </c>
      <c r="R9" s="63" t="inlineStr">
        <is>
          <t>High confidence; no spend or rating yet and 50+ proposals.</t>
        </is>
      </c>
      <c r="S9" s="396" t="n"/>
      <c r="T9" s="103" t="inlineStr">
        <is>
          <t>Unknown</t>
        </is>
      </c>
      <c r="U9" s="396" t="n"/>
      <c r="V9" s="103" t="n"/>
      <c r="W9" s="103" t="n"/>
      <c r="X9" s="103" t="inlineStr">
        <is>
          <t>Not Evaluated</t>
        </is>
      </c>
      <c r="Y9" s="103" t="inlineStr">
        <is>
          <t>Unassigned</t>
        </is>
      </c>
      <c r="Z9" s="397" t="n"/>
      <c r="AA9" s="397" t="n"/>
      <c r="AB9" s="103" t="n"/>
      <c r="AC9" s="398" t="n"/>
      <c r="AD9" s="397" t="n"/>
      <c r="AE9" s="399">
        <f>IFERROR((AA9-AD9)/AA9,"")</f>
        <v/>
      </c>
      <c r="AF9" s="396" t="n"/>
      <c r="AG9" s="119" t="inlineStr">
        <is>
          <t>Batch C</t>
        </is>
      </c>
      <c r="AH9" s="127" t="inlineStr">
        <is>
          <t>Manual Check</t>
        </is>
      </c>
      <c r="AI9" s="123" t="inlineStr">
        <is>
          <t>Anonymous direct page was blocked by a Cloudflare challenge. Verify open status and scope inside Upwork.</t>
        </is>
      </c>
      <c r="AJ9" s="123" t="inlineStr">
        <is>
          <t>2026-07-30 03:14 +04</t>
        </is>
      </c>
      <c r="AK9" s="139">
        <f>IF(AND(U9&lt;&gt;"",S9=""),"WARN: Reply date without sent date",IF(AND(OR(C9="Sent",C9="Replied",C9="Qualified",C9="Blueprint Proposed",C9="Pilot Proposed",C9="Blueprint Funded",C9="Pilot Funded",C9="Won"),S9=""),"WARN: Stage requires sent date",IF(AND(OR(C9="Replied",C9="Qualified",C9="Blueprint Proposed",C9="Pilot Proposed",C9="Blueprint Funded",C9="Pilot Funded",C9="Won"),U9=""),"WARN: Stage requires reply date",IF(AND(X9="Qualified",U9=""),"WARN: Qualified without reply date",IF(AND(C9="Qualified",X9&lt;&gt;"Qualified"),"WARN: Qualified stage mismatch",IF(AND(X9="Qualified",NOT(OR(C9="Qualified",C9="Blueprint Proposed",C9="Pilot Proposed",C9="Blueprint Funded",C9="Pilot Funded",C9="Won"))),"WARN: Qualified value stage mismatch",IF(AND(Z9&gt;0,NOT(OR(Y9="Blueprint",Y9="Direct Pilot"))),"WARN: Quote without sales path",IF(AND(OR(C9="Blueprint Proposed",C9="Blueprint Funded"),Y9&lt;&gt;"Blueprint"),"WARN: Blueprint stage path mismatch",IF(AND(OR(C9="Pilot Proposed",C9="Pilot Funded"),Y9&lt;&gt;"Direct Pilot"),"WARN: Pilot stage path mismatch",IF(AND(OR(C9="Blueprint Proposed",C9="Pilot Proposed",C9="Blueprint Funded",C9="Pilot Funded",C9="Won"),Z9&lt;=0),"WARN: Offer stage without quote",IF(AND(Z9&gt;0,NOT(OR(C9="Blueprint Proposed",C9="Pilot Proposed",C9="Blueprint Funded",C9="Pilot Funded",C9="Won"))),"WARN: Quote stage mismatch",IF(AND(AA9&gt;0,Z9&lt;=0),"WARN: Funded without quote",IF(AND(OR(C9="Blueprint Funded",C9="Pilot Funded",C9="Won"),AA9&lt;=0),"WARN: Funded stage without amount",IF(AND(AA9&gt;0,NOT(OR(C9="Blueprint Funded",C9="Pilot Funded",C9="Won"))),"WARN: Funded value stage mismatch","OK"))))))))))))))</f>
        <v/>
      </c>
    </row>
    <row r="10" ht="210" customHeight="1">
      <c r="A10" s="63" t="inlineStr">
        <is>
          <t>Wave 1</t>
        </is>
      </c>
      <c r="B10" s="63" t="inlineStr">
        <is>
          <t>Landing Link</t>
        </is>
      </c>
      <c r="C10" s="103" t="inlineStr">
        <is>
          <t>Not Sent</t>
        </is>
      </c>
      <c r="D10" s="63" t="inlineStr">
        <is>
          <t>Lead Response</t>
        </is>
      </c>
      <c r="E10" s="199">
        <f>IF(G10&gt;=90,"A",IF(G10&gt;=80,"B",IF(G10&gt;=70,"C","D")))</f>
        <v/>
      </c>
      <c r="F10" s="63" t="inlineStr">
        <is>
          <t>Upwork:~022082059740997677549</t>
        </is>
      </c>
      <c r="G10" s="395" t="n">
        <v>90</v>
      </c>
      <c r="H10" s="63" t="inlineStr">
        <is>
          <t>Upwork</t>
        </is>
      </c>
      <c r="I10" s="63" t="inlineStr">
        <is>
          <t>Senior AI Engineer to Build an AI Sales Operations Employee (LLMs, CRM, Multi-Agent AI)</t>
        </is>
      </c>
      <c r="J10" s="63" t="inlineStr">
        <is>
          <t>Hourly: $30-$45</t>
        </is>
      </c>
      <c r="K10" s="63" t="inlineStr">
        <is>
          <t>50+</t>
        </is>
      </c>
      <c r="L10" s="63" t="inlineStr">
        <is>
          <t>6 hours ago</t>
        </is>
      </c>
      <c r="M10" s="63" t="inlineStr">
        <is>
          <t>A production AI sales employee must research and qualify leads, generate outreach and proposals, update CRM, follow up, book meetings, and show analytics.</t>
        </is>
      </c>
      <c r="N10" s="63" t="inlineStr">
        <is>
          <t>One lead-research-to-CRM loop, one outreach path, one booking handoff, and monitoring.</t>
        </is>
      </c>
      <c r="O10" s="63" t="inlineStr">
        <is>
          <t>You are hiring for a production AI sales-ops employee: research/qualify, CRM, outreach, follow-up, booking, analytics. That is a platform end-state, not a day-one blank build.
We already have a production-ready product core for this at Dali Agency (lead-response core): intake → extract/classify → CRM or calendar action → draft or first reply → human approval on uncertain/pricing cases.
We are not starting from a blank repo. The paid work is customization under your stack: your lead sources, CRM fields, qualification rules, and which cases must always stop for a person.
First customization pilot I would lock: one lead-research → qualification → CRM update → booked-meeting handoff path first, with multi-agent layers only after that path is proven.
Packaged boundary + how we run that pilot: https://dali.agents.ge/for/upwork/lead-response?ref=uw-022082059740997677549
If that matches, reply here in Upwork with primary intake channel, CRM, and the lead classes that must always wait for a person. I will confirm fit and send a fixed pilot milestone (or a short paid blueprint if scope is still loose) before any implementation starts.</t>
        </is>
      </c>
      <c r="P10" s="63" t="inlineStr">
        <is>
          <t>https://dali.agents.ge/for/upwork/lead-response?ref=uw-022082059740997677549</t>
        </is>
      </c>
      <c r="Q10" s="63" t="inlineStr">
        <is>
          <t>https://www.upwork.com/jobs/Senior-Engineer-Build-Sales-Operations-Employee-LLMs-CRM-Multi-Agent_~022082059740997677549/?referrer_url_path=find_work_home</t>
        </is>
      </c>
      <c r="R10" s="63" t="inlineStr">
        <is>
          <t>High confidence; large production scope, 3-6 months, 30+ hours per week, and 50+ proposals.</t>
        </is>
      </c>
      <c r="S10" s="396" t="n"/>
      <c r="T10" s="103" t="inlineStr">
        <is>
          <t>Unknown</t>
        </is>
      </c>
      <c r="U10" s="396" t="n"/>
      <c r="V10" s="103" t="n"/>
      <c r="W10" s="103" t="n"/>
      <c r="X10" s="103" t="inlineStr">
        <is>
          <t>Not Evaluated</t>
        </is>
      </c>
      <c r="Y10" s="103" t="inlineStr">
        <is>
          <t>Unassigned</t>
        </is>
      </c>
      <c r="Z10" s="397" t="n"/>
      <c r="AA10" s="397" t="n"/>
      <c r="AB10" s="103" t="n"/>
      <c r="AC10" s="398" t="n"/>
      <c r="AD10" s="397" t="n"/>
      <c r="AE10" s="399">
        <f>IFERROR((AA10-AD10)/AA10,"")</f>
        <v/>
      </c>
      <c r="AF10" s="396" t="n"/>
      <c r="AG10" s="119" t="inlineStr">
        <is>
          <t>Batch A</t>
        </is>
      </c>
      <c r="AH10" s="127" t="inlineStr">
        <is>
          <t>Open</t>
        </is>
      </c>
      <c r="AI10" s="123" t="inlineStr">
        <is>
          <t>Full card accessible and scope matched. 50+ proposals and client viewed yesterday.</t>
        </is>
      </c>
      <c r="AJ10" s="123" t="inlineStr">
        <is>
          <t>2026-07-30 03:16 +04</t>
        </is>
      </c>
      <c r="AK10" s="139">
        <f>IF(AND(U10&lt;&gt;"",S10=""),"WARN: Reply date without sent date",IF(AND(OR(C10="Sent",C10="Replied",C10="Qualified",C10="Blueprint Proposed",C10="Pilot Proposed",C10="Blueprint Funded",C10="Pilot Funded",C10="Won"),S10=""),"WARN: Stage requires sent date",IF(AND(OR(C10="Replied",C10="Qualified",C10="Blueprint Proposed",C10="Pilot Proposed",C10="Blueprint Funded",C10="Pilot Funded",C10="Won"),U10=""),"WARN: Stage requires reply date",IF(AND(X10="Qualified",U10=""),"WARN: Qualified without reply date",IF(AND(C10="Qualified",X10&lt;&gt;"Qualified"),"WARN: Qualified stage mismatch",IF(AND(X10="Qualified",NOT(OR(C10="Qualified",C10="Blueprint Proposed",C10="Pilot Proposed",C10="Blueprint Funded",C10="Pilot Funded",C10="Won"))),"WARN: Qualified value stage mismatch",IF(AND(Z10&gt;0,NOT(OR(Y10="Blueprint",Y10="Direct Pilot"))),"WARN: Quote without sales path",IF(AND(OR(C10="Blueprint Proposed",C10="Blueprint Funded"),Y10&lt;&gt;"Blueprint"),"WARN: Blueprint stage path mismatch",IF(AND(OR(C10="Pilot Proposed",C10="Pilot Funded"),Y10&lt;&gt;"Direct Pilot"),"WARN: Pilot stage path mismatch",IF(AND(OR(C10="Blueprint Proposed",C10="Pilot Proposed",C10="Blueprint Funded",C10="Pilot Funded",C10="Won"),Z10&lt;=0),"WARN: Offer stage without quote",IF(AND(Z10&gt;0,NOT(OR(C10="Blueprint Proposed",C10="Pilot Proposed",C10="Blueprint Funded",C10="Pilot Funded",C10="Won"))),"WARN: Quote stage mismatch",IF(AND(AA10&gt;0,Z10&lt;=0),"WARN: Funded without quote",IF(AND(OR(C10="Blueprint Funded",C10="Pilot Funded",C10="Won"),AA10&lt;=0),"WARN: Funded stage without amount",IF(AND(AA10&gt;0,NOT(OR(C10="Blueprint Funded",C10="Pilot Funded",C10="Won"))),"WARN: Funded value stage mismatch","OK"))))))))))))))</f>
        <v/>
      </c>
    </row>
    <row r="11" ht="210" customHeight="1">
      <c r="A11" s="63" t="inlineStr">
        <is>
          <t>Wave 1</t>
        </is>
      </c>
      <c r="B11" s="63" t="inlineStr">
        <is>
          <t>Landing Link</t>
        </is>
      </c>
      <c r="C11" s="103" t="inlineStr">
        <is>
          <t>Not Sent</t>
        </is>
      </c>
      <c r="D11" s="63" t="inlineStr">
        <is>
          <t>Lead Response</t>
        </is>
      </c>
      <c r="E11" s="199">
        <f>IF(G11&gt;=90,"A",IF(G11&gt;=80,"B",IF(G11&gt;=70,"C","D")))</f>
        <v/>
      </c>
      <c r="F11" s="63" t="inlineStr">
        <is>
          <t>Upwork:~022081957032774069874</t>
        </is>
      </c>
      <c r="G11" s="395" t="n">
        <v>90</v>
      </c>
      <c r="H11" s="63" t="inlineStr">
        <is>
          <t>Upwork</t>
        </is>
      </c>
      <c r="I11" s="63" t="inlineStr">
        <is>
          <t>AI Automation Developer - Gmail, OpenAI &amp; SMS</t>
        </is>
      </c>
      <c r="J11" s="63" t="inlineStr">
        <is>
          <t>Hourly: $15-$35</t>
        </is>
      </c>
      <c r="K11" s="63" t="inlineStr">
        <is>
          <t>50+</t>
        </is>
      </c>
      <c r="L11" s="63" t="inlineStr">
        <is>
          <t>13 hours ago</t>
        </is>
      </c>
      <c r="M11" s="63" t="inlineStr">
        <is>
          <t>A leasing assistant must read new applications, answer by email and SMS, pre-screen tenants, schedule showings, and log communications.</t>
        </is>
      </c>
      <c r="N11" s="63" t="inlineStr">
        <is>
          <t>One leasing workflow: email intake, standard replies, pre-screening, calendar booking, and human review for sensitive decisions.</t>
        </is>
      </c>
      <c r="O11" s="63" t="inlineStr">
        <is>
          <t>The leasing assistant brief is email/SMS intake, standard replies, pre-screen, showing booking, and communication log.
We already have a production-ready product core for this at Dali Agency (lead-response core): intake → extract/classify → CRM or calendar action → draft or first reply → human approval on uncertain/pricing cases.
We are not starting from a blank repo. The paid work is customization under your stack: your lead sources, CRM fields, qualification rules, and which cases must always stop for a person.
First customization pilot I would lock: one application flow, one calendar path, human review for any sensitive tenant decision.
Packaged boundary + how we run that pilot: https://dali.agents.ge/for/upwork/lead-response?ref=uw-022081957032774069874
If that matches, reply here in Upwork with primary intake channel, CRM, and the lead classes that must always wait for a person. I will confirm fit and send a fixed pilot milestone (or a short paid blueprint if scope is still loose) before any implementation starts.</t>
        </is>
      </c>
      <c r="P11" s="63" t="inlineStr">
        <is>
          <t>https://dali.agents.ge/for/upwork/lead-response?ref=uw-022081957032774069874</t>
        </is>
      </c>
      <c r="Q11" s="63" t="inlineStr">
        <is>
          <t>https://www.upwork.com/jobs/Automation-Developer-Gmail-OpenAI-SMS_~022081957032774069874/?referrer_url_path=find_work_home</t>
        </is>
      </c>
      <c r="R11" s="63" t="inlineStr">
        <is>
          <t>High confidence; privacy-sensitive tenant screening and 50+ proposals.</t>
        </is>
      </c>
      <c r="S11" s="396" t="n"/>
      <c r="T11" s="103" t="inlineStr">
        <is>
          <t>Unknown</t>
        </is>
      </c>
      <c r="U11" s="396" t="n"/>
      <c r="V11" s="103" t="n"/>
      <c r="W11" s="103" t="n"/>
      <c r="X11" s="103" t="inlineStr">
        <is>
          <t>Not Evaluated</t>
        </is>
      </c>
      <c r="Y11" s="103" t="inlineStr">
        <is>
          <t>Unassigned</t>
        </is>
      </c>
      <c r="Z11" s="397" t="n"/>
      <c r="AA11" s="397" t="n"/>
      <c r="AB11" s="103" t="n"/>
      <c r="AC11" s="398" t="n"/>
      <c r="AD11" s="397" t="n"/>
      <c r="AE11" s="399">
        <f>IFERROR((AA11-AD11)/AA11,"")</f>
        <v/>
      </c>
      <c r="AF11" s="396" t="n"/>
      <c r="AG11" s="119" t="inlineStr">
        <is>
          <t>Batch B</t>
        </is>
      </c>
      <c r="AH11" s="127" t="inlineStr">
        <is>
          <t>Manual Check</t>
        </is>
      </c>
      <c r="AI11" s="123" t="inlineStr">
        <is>
          <t>Anonymous direct page was blocked by a Cloudflare challenge. Verify open status and scope inside Upwork.</t>
        </is>
      </c>
      <c r="AJ11" s="123" t="inlineStr">
        <is>
          <t>2026-07-30 03:13 +04</t>
        </is>
      </c>
      <c r="AK11" s="139">
        <f>IF(AND(U11&lt;&gt;"",S11=""),"WARN: Reply date without sent date",IF(AND(OR(C11="Sent",C11="Replied",C11="Qualified",C11="Blueprint Proposed",C11="Pilot Proposed",C11="Blueprint Funded",C11="Pilot Funded",C11="Won"),S11=""),"WARN: Stage requires sent date",IF(AND(OR(C11="Replied",C11="Qualified",C11="Blueprint Proposed",C11="Pilot Proposed",C11="Blueprint Funded",C11="Pilot Funded",C11="Won"),U11=""),"WARN: Stage requires reply date",IF(AND(X11="Qualified",U11=""),"WARN: Qualified without reply date",IF(AND(C11="Qualified",X11&lt;&gt;"Qualified"),"WARN: Qualified stage mismatch",IF(AND(X11="Qualified",NOT(OR(C11="Qualified",C11="Blueprint Proposed",C11="Pilot Proposed",C11="Blueprint Funded",C11="Pilot Funded",C11="Won"))),"WARN: Qualified value stage mismatch",IF(AND(Z11&gt;0,NOT(OR(Y11="Blueprint",Y11="Direct Pilot"))),"WARN: Quote without sales path",IF(AND(OR(C11="Blueprint Proposed",C11="Blueprint Funded"),Y11&lt;&gt;"Blueprint"),"WARN: Blueprint stage path mismatch",IF(AND(OR(C11="Pilot Proposed",C11="Pilot Funded"),Y11&lt;&gt;"Direct Pilot"),"WARN: Pilot stage path mismatch",IF(AND(OR(C11="Blueprint Proposed",C11="Pilot Proposed",C11="Blueprint Funded",C11="Pilot Funded",C11="Won"),Z11&lt;=0),"WARN: Offer stage without quote",IF(AND(Z11&gt;0,NOT(OR(C11="Blueprint Proposed",C11="Pilot Proposed",C11="Blueprint Funded",C11="Pilot Funded",C11="Won"))),"WARN: Quote stage mismatch",IF(AND(AA11&gt;0,Z11&lt;=0),"WARN: Funded without quote",IF(AND(OR(C11="Blueprint Funded",C11="Pilot Funded",C11="Won"),AA11&lt;=0),"WARN: Funded stage without amount",IF(AND(AA11&gt;0,NOT(OR(C11="Blueprint Funded",C11="Pilot Funded",C11="Won"))),"WARN: Funded value stage mismatch","OK"))))))))))))))</f>
        <v/>
      </c>
    </row>
    <row r="12" ht="210" customHeight="1">
      <c r="A12" s="63" t="inlineStr">
        <is>
          <t>Wave 1</t>
        </is>
      </c>
      <c r="B12" s="63" t="inlineStr">
        <is>
          <t>Landing Link</t>
        </is>
      </c>
      <c r="C12" s="103" t="inlineStr">
        <is>
          <t>Not Sent</t>
        </is>
      </c>
      <c r="D12" s="63" t="inlineStr">
        <is>
          <t>Lead Response</t>
        </is>
      </c>
      <c r="E12" s="199">
        <f>IF(G12&gt;=90,"A",IF(G12&gt;=80,"B",IF(G12&gt;=70,"C","D")))</f>
        <v/>
      </c>
      <c r="F12" s="63" t="inlineStr">
        <is>
          <t>Upwork:~022071869598491167955</t>
        </is>
      </c>
      <c r="G12" s="395" t="n">
        <v>90</v>
      </c>
      <c r="H12" s="63" t="inlineStr">
        <is>
          <t>Upwork</t>
        </is>
      </c>
      <c r="I12" s="63" t="inlineStr">
        <is>
          <t>AI Automation Specialist for Lead Qualification, CRM Routing and Multichannel Appointment Booking</t>
        </is>
      </c>
      <c r="J12" s="63" t="inlineStr">
        <is>
          <t>$500.00</t>
        </is>
      </c>
      <c r="K12" s="63" t="inlineStr">
        <is>
          <t>20 to 50</t>
        </is>
      </c>
      <c r="L12" s="63" t="inlineStr">
        <is>
          <t>4 weeks ago</t>
        </is>
      </c>
      <c r="M12" s="63" t="inlineStr">
        <is>
          <t>A multilingual appointment system must classify messages, manage booking changes, reminders, and waitlists, sync calendar and CRM, and escalate when needed.</t>
        </is>
      </c>
      <c r="N12" s="63" t="inlineStr">
        <is>
          <t>One language, one appointment flow, one CRM and calendar integration, and explicit escalation rules.</t>
        </is>
      </c>
      <c r="O12" s="63" t="inlineStr">
        <is>
          <t>You need multilingual lead qualification, CRM routing, and multichannel appointment booking with reschedules, reminders, and waitlists.
We already have a production-ready product core for this at Dali Agency (lead-response core): intake → extract/classify → CRM or calendar action → draft or first reply → human approval on uncertain/pricing cases.
We are not starting from a blank repo. The paid work is customization under your stack: your lead sources, CRM fields, qualification rules, and which cases must always stop for a person.
First customization pilot I would lock: one language first, one appointment flow, one CRM+calendar integration, explicit escalation rules.
Packaged boundary + how we run that pilot: https://dali.agents.ge/for/upwork/lead-response?ref=uw-022071869598491167955
If that matches, reply here in Upwork with primary intake channel, CRM, and the lead classes that must always wait for a person. I will confirm fit and send a fixed pilot milestone (or a short paid blueprint if scope is still loose) before any implementation starts.</t>
        </is>
      </c>
      <c r="P12" s="63" t="inlineStr">
        <is>
          <t>https://dali.agents.ge/for/upwork/lead-response?ref=uw-022071869598491167955</t>
        </is>
      </c>
      <c r="Q12" s="63" t="inlineStr">
        <is>
          <t>https://www.upwork.com/jobs/span-class-highlight-span-span-class-highlight-Automation-span-Specialist-for-Lead-Qualification-CRM-Routing-and-Multichannel-Appointment-Booking_~022071869598491167955/?referrer_url_path=/nx/search/jobs/</t>
        </is>
      </c>
      <c r="R12" s="63" t="inlineStr">
        <is>
          <t>High confidence; the fixed $500 scope is too small for a multi-stage system.</t>
        </is>
      </c>
      <c r="S12" s="396" t="n"/>
      <c r="T12" s="103" t="inlineStr">
        <is>
          <t>Unknown</t>
        </is>
      </c>
      <c r="U12" s="396" t="n"/>
      <c r="V12" s="103" t="n"/>
      <c r="W12" s="103" t="n"/>
      <c r="X12" s="103" t="inlineStr">
        <is>
          <t>Not Evaluated</t>
        </is>
      </c>
      <c r="Y12" s="103" t="inlineStr">
        <is>
          <t>Unassigned</t>
        </is>
      </c>
      <c r="Z12" s="397" t="n"/>
      <c r="AA12" s="397" t="n"/>
      <c r="AB12" s="103" t="n"/>
      <c r="AC12" s="398" t="n"/>
      <c r="AD12" s="397" t="n"/>
      <c r="AE12" s="399">
        <f>IFERROR((AA12-AD12)/AA12,"")</f>
        <v/>
      </c>
      <c r="AF12" s="396" t="n"/>
      <c r="AG12" s="119" t="inlineStr">
        <is>
          <t>Batch C</t>
        </is>
      </c>
      <c r="AH12" s="127" t="inlineStr">
        <is>
          <t>Manual Check</t>
        </is>
      </c>
      <c r="AI12" s="123" t="inlineStr">
        <is>
          <t>Anonymous direct page was blocked by a Cloudflare challenge. Verify open status and scope inside Upwork.</t>
        </is>
      </c>
      <c r="AJ12" s="123" t="inlineStr">
        <is>
          <t>2026-07-30 03:14 +04</t>
        </is>
      </c>
      <c r="AK12" s="139">
        <f>IF(AND(U12&lt;&gt;"",S12=""),"WARN: Reply date without sent date",IF(AND(OR(C12="Sent",C12="Replied",C12="Qualified",C12="Blueprint Proposed",C12="Pilot Proposed",C12="Blueprint Funded",C12="Pilot Funded",C12="Won"),S12=""),"WARN: Stage requires sent date",IF(AND(OR(C12="Replied",C12="Qualified",C12="Blueprint Proposed",C12="Pilot Proposed",C12="Blueprint Funded",C12="Pilot Funded",C12="Won"),U12=""),"WARN: Stage requires reply date",IF(AND(X12="Qualified",U12=""),"WARN: Qualified without reply date",IF(AND(C12="Qualified",X12&lt;&gt;"Qualified"),"WARN: Qualified stage mismatch",IF(AND(X12="Qualified",NOT(OR(C12="Qualified",C12="Blueprint Proposed",C12="Pilot Proposed",C12="Blueprint Funded",C12="Pilot Funded",C12="Won"))),"WARN: Qualified value stage mismatch",IF(AND(Z12&gt;0,NOT(OR(Y12="Blueprint",Y12="Direct Pilot"))),"WARN: Quote without sales path",IF(AND(OR(C12="Blueprint Proposed",C12="Blueprint Funded"),Y12&lt;&gt;"Blueprint"),"WARN: Blueprint stage path mismatch",IF(AND(OR(C12="Pilot Proposed",C12="Pilot Funded"),Y12&lt;&gt;"Direct Pilot"),"WARN: Pilot stage path mismatch",IF(AND(OR(C12="Blueprint Proposed",C12="Pilot Proposed",C12="Blueprint Funded",C12="Pilot Funded",C12="Won"),Z12&lt;=0),"WARN: Offer stage without quote",IF(AND(Z12&gt;0,NOT(OR(C12="Blueprint Proposed",C12="Pilot Proposed",C12="Blueprint Funded",C12="Pilot Funded",C12="Won"))),"WARN: Quote stage mismatch",IF(AND(AA12&gt;0,Z12&lt;=0),"WARN: Funded without quote",IF(AND(OR(C12="Blueprint Funded",C12="Pilot Funded",C12="Won"),AA12&lt;=0),"WARN: Funded stage without amount",IF(AND(AA12&gt;0,NOT(OR(C12="Blueprint Funded",C12="Pilot Funded",C12="Won"))),"WARN: Funded value stage mismatch","OK"))))))))))))))</f>
        <v/>
      </c>
    </row>
    <row r="13" ht="210" customHeight="1">
      <c r="A13" s="63" t="inlineStr">
        <is>
          <t>Wave 1</t>
        </is>
      </c>
      <c r="B13" s="63" t="inlineStr">
        <is>
          <t>No-Link Diagnostic</t>
        </is>
      </c>
      <c r="C13" s="103" t="inlineStr">
        <is>
          <t>Not Sent</t>
        </is>
      </c>
      <c r="D13" s="63" t="inlineStr">
        <is>
          <t>Lead Response</t>
        </is>
      </c>
      <c r="E13" s="199">
        <f>IF(G13&gt;=90,"A",IF(G13&gt;=80,"B",IF(G13&gt;=70,"C","D")))</f>
        <v/>
      </c>
      <c r="F13" s="63" t="inlineStr">
        <is>
          <t>Upwork:~022082076899341845245</t>
        </is>
      </c>
      <c r="G13" s="395" t="n">
        <v>85</v>
      </c>
      <c r="H13" s="63" t="inlineStr">
        <is>
          <t>Upwork</t>
        </is>
      </c>
      <c r="I13" s="63" t="inlineStr">
        <is>
          <t>Full Stack AI Automation Engineer Ai Sales Workflow Platform</t>
        </is>
      </c>
      <c r="J13" s="63" t="inlineStr">
        <is>
          <t>Hourly: $25-$47</t>
        </is>
      </c>
      <c r="K13" s="63" t="inlineStr">
        <is>
          <t>50+</t>
        </is>
      </c>
      <c r="L13" s="63" t="inlineStr">
        <is>
          <t>5 hours ago</t>
        </is>
      </c>
      <c r="M13" s="63" t="inlineStr">
        <is>
          <t>A high-volume service business needs an AI sales agent that qualifies leads, updates GoHighLevel, assigns a manager, follows up, books meetings, and prepares call summaries.</t>
        </is>
      </c>
      <c r="N13" s="63" t="inlineStr">
        <is>
          <t>One lead source to one CRM action path, booking handoff, and pre-call summary.</t>
        </is>
      </c>
      <c r="O13" s="63" t="inlineStr">
        <is>
          <t>You already have a clear sales-ops workflow: qualify, update GoHighLevel, assign the manager, follow up, and book meetings.
We already have a production-ready product core for this at Dali Agency (lead-response core): intake → extract/classify → CRM or calendar action → draft or first reply → human approval on uncertain/pricing cases.
We are not starting from a blank repo. The paid work is customization under your stack: your lead sources, CRM fields, qualification rules, and which cases must always stop for a person.
First customization pilot I would lock: one lead source, one GoHighLevel action path, one manager assignment rule, and human approval on edge cases.
If that matches, reply here in Upwork with primary intake channel, CRM, and the lead classes that must always wait for a person. I will confirm fit and send a fixed pilot milestone (or a short paid blueprint if scope is still loose) before any implementation starts.</t>
        </is>
      </c>
      <c r="P13" s="63" t="inlineStr">
        <is>
          <t>No link in diagnostic proposal</t>
        </is>
      </c>
      <c r="Q13" s="63" t="inlineStr">
        <is>
          <t>https://www.upwork.com/jobs/Full-Stack-Automation-Engineer-Sales-Workflow-Platform_~022082076899341845245/?referrer_url_path=find_work_home</t>
        </is>
      </c>
      <c r="R13" s="63" t="inlineStr">
        <is>
          <t>High confidence; 3-6 month scope, 50+ proposals, and no proven payment history.</t>
        </is>
      </c>
      <c r="S13" s="396" t="n"/>
      <c r="T13" s="103" t="inlineStr">
        <is>
          <t>Unknown</t>
        </is>
      </c>
      <c r="U13" s="396" t="n"/>
      <c r="V13" s="103" t="n"/>
      <c r="W13" s="103" t="n"/>
      <c r="X13" s="103" t="inlineStr">
        <is>
          <t>Not Evaluated</t>
        </is>
      </c>
      <c r="Y13" s="103" t="inlineStr">
        <is>
          <t>Unassigned</t>
        </is>
      </c>
      <c r="Z13" s="397" t="n"/>
      <c r="AA13" s="397" t="n"/>
      <c r="AB13" s="103" t="n"/>
      <c r="AC13" s="398" t="n"/>
      <c r="AD13" s="397" t="n"/>
      <c r="AE13" s="399">
        <f>IFERROR((AA13-AD13)/AA13,"")</f>
        <v/>
      </c>
      <c r="AF13" s="396" t="n"/>
      <c r="AG13" s="119" t="inlineStr">
        <is>
          <t>Batch A</t>
        </is>
      </c>
      <c r="AH13" s="127" t="inlineStr">
        <is>
          <t>Open</t>
        </is>
      </c>
      <c r="AI13" s="123" t="inlineStr">
        <is>
          <t>Full card accessible and scope matched. 50+ proposals, client viewed yesterday, one interview.</t>
        </is>
      </c>
      <c r="AJ13" s="123" t="inlineStr">
        <is>
          <t>2026-07-30 03:15 +04</t>
        </is>
      </c>
      <c r="AK13" s="139">
        <f>IF(AND(U13&lt;&gt;"",S13=""),"WARN: Reply date without sent date",IF(AND(OR(C13="Sent",C13="Replied",C13="Qualified",C13="Blueprint Proposed",C13="Pilot Proposed",C13="Blueprint Funded",C13="Pilot Funded",C13="Won"),S13=""),"WARN: Stage requires sent date",IF(AND(OR(C13="Replied",C13="Qualified",C13="Blueprint Proposed",C13="Pilot Proposed",C13="Blueprint Funded",C13="Pilot Funded",C13="Won"),U13=""),"WARN: Stage requires reply date",IF(AND(X13="Qualified",U13=""),"WARN: Qualified without reply date",IF(AND(C13="Qualified",X13&lt;&gt;"Qualified"),"WARN: Qualified stage mismatch",IF(AND(X13="Qualified",NOT(OR(C13="Qualified",C13="Blueprint Proposed",C13="Pilot Proposed",C13="Blueprint Funded",C13="Pilot Funded",C13="Won"))),"WARN: Qualified value stage mismatch",IF(AND(Z13&gt;0,NOT(OR(Y13="Blueprint",Y13="Direct Pilot"))),"WARN: Quote without sales path",IF(AND(OR(C13="Blueprint Proposed",C13="Blueprint Funded"),Y13&lt;&gt;"Blueprint"),"WARN: Blueprint stage path mismatch",IF(AND(OR(C13="Pilot Proposed",C13="Pilot Funded"),Y13&lt;&gt;"Direct Pilot"),"WARN: Pilot stage path mismatch",IF(AND(OR(C13="Blueprint Proposed",C13="Pilot Proposed",C13="Blueprint Funded",C13="Pilot Funded",C13="Won"),Z13&lt;=0),"WARN: Offer stage without quote",IF(AND(Z13&gt;0,NOT(OR(C13="Blueprint Proposed",C13="Pilot Proposed",C13="Blueprint Funded",C13="Pilot Funded",C13="Won"))),"WARN: Quote stage mismatch",IF(AND(AA13&gt;0,Z13&lt;=0),"WARN: Funded without quote",IF(AND(OR(C13="Blueprint Funded",C13="Pilot Funded",C13="Won"),AA13&lt;=0),"WARN: Funded stage without amount",IF(AND(AA13&gt;0,NOT(OR(C13="Blueprint Funded",C13="Pilot Funded",C13="Won"))),"WARN: Funded value stage mismatch","OK"))))))))))))))</f>
        <v/>
      </c>
    </row>
    <row r="14" ht="210" customHeight="1">
      <c r="A14" s="63" t="inlineStr">
        <is>
          <t>Hold</t>
        </is>
      </c>
      <c r="B14" s="63" t="inlineStr">
        <is>
          <t>Hold</t>
        </is>
      </c>
      <c r="C14" s="103" t="inlineStr">
        <is>
          <t>Hold</t>
        </is>
      </c>
      <c r="D14" s="63" t="inlineStr">
        <is>
          <t>Lead Response</t>
        </is>
      </c>
      <c r="E14" s="199">
        <f>IF(G14&gt;=90,"A",IF(G14&gt;=80,"B",IF(G14&gt;=70,"C","D")))</f>
        <v/>
      </c>
      <c r="F14" s="63" t="inlineStr">
        <is>
          <t>Upwork:~022082023362208208284</t>
        </is>
      </c>
      <c r="G14" s="395" t="n">
        <v>85</v>
      </c>
      <c r="H14" s="63" t="inlineStr">
        <is>
          <t>Upwork</t>
        </is>
      </c>
      <c r="I14" s="63" t="inlineStr">
        <is>
          <t>AI Agent &amp; n8n Automation System for Freight Forwarding Company</t>
        </is>
      </c>
      <c r="J14" s="63" t="inlineStr">
        <is>
          <t>Hourly</t>
        </is>
      </c>
      <c r="K14" s="63" t="inlineStr">
        <is>
          <t>20 to 50</t>
        </is>
      </c>
      <c r="L14" s="63" t="inlineStr">
        <is>
          <t>5 hours ago</t>
        </is>
      </c>
      <c r="M14" s="63" t="inlineStr">
        <is>
          <t>Freight-forwarding leads need dedupe, CRM status updates, email sequences, and reporting before later freight calculations.</t>
        </is>
      </c>
      <c r="N14" s="63" t="inlineStr">
        <is>
          <t>One lead intake to dedupe, CRM status, one email sequence, and one report.</t>
        </is>
      </c>
      <c r="O14" s="63" t="inlineStr">
        <is>
          <t>I would ship one lead-to-follow-up path first: lead intake, dedupe, CRM status, sequence email, report. Freight calculation can wait.
I packaged that exact pilot boundary here: https://dali.agents.ge/for/upwork/lead-response?ref=uw-022082023362208208284
If that boundary matches your brief, reply here in Upwork with your primary intake channel, CRM, and the lead classes that must always wait for a person. I will turn those inputs into the first replay set and pass/fail acceptance test before implementation.</t>
        </is>
      </c>
      <c r="P14" s="63" t="inlineStr">
        <is>
          <t>https://dali.agents.ge/for/upwork/lead-response?ref=uw-022082023362208208284</t>
        </is>
      </c>
      <c r="Q14" s="63" t="inlineStr">
        <is>
          <t>https://www.upwork.com/jobs/span-class-highlight-span-span-class-highlight-Agent-span-amp-n8n-span-class-highlight-Automation-span-System-for-Freight-Forwarding-Company_~022082023362208208284/?referrer_url_path=/nx/search/jobs/</t>
        </is>
      </c>
      <c r="R14" s="63" t="inlineStr">
        <is>
          <t>High confidence; future RFQ and freight-calculation scope should stay outside the pilot.</t>
        </is>
      </c>
      <c r="S14" s="396" t="n"/>
      <c r="T14" s="103" t="inlineStr">
        <is>
          <t>Unknown</t>
        </is>
      </c>
      <c r="U14" s="396" t="n"/>
      <c r="V14" s="103" t="n"/>
      <c r="W14" s="103" t="n"/>
      <c r="X14" s="103" t="inlineStr">
        <is>
          <t>Not Evaluated</t>
        </is>
      </c>
      <c r="Y14" s="103" t="inlineStr">
        <is>
          <t>Hold</t>
        </is>
      </c>
      <c r="Z14" s="397" t="n"/>
      <c r="AA14" s="397" t="n"/>
      <c r="AB14" s="103" t="n"/>
      <c r="AC14" s="398" t="n"/>
      <c r="AD14" s="397" t="n"/>
      <c r="AE14" s="399">
        <f>IFERROR((AA14-AD14)/AA14,"")</f>
        <v/>
      </c>
      <c r="AF14" s="396" t="n"/>
      <c r="AG14" s="119" t="inlineStr">
        <is>
          <t>Hold</t>
        </is>
      </c>
      <c r="AH14" s="127" t="inlineStr">
        <is>
          <t>Not Checked</t>
        </is>
      </c>
      <c r="AI14" s="123" t="inlineStr">
        <is>
          <t>Hold row; not part of the current live-listing audit.</t>
        </is>
      </c>
      <c r="AJ14" s="123" t="str"/>
      <c r="AK14" s="139">
        <f>IF(AND(U14&lt;&gt;"",S14=""),"WARN: Reply date without sent date",IF(AND(OR(C14="Sent",C14="Replied",C14="Qualified",C14="Blueprint Proposed",C14="Pilot Proposed",C14="Blueprint Funded",C14="Pilot Funded",C14="Won"),S14=""),"WARN: Stage requires sent date",IF(AND(OR(C14="Replied",C14="Qualified",C14="Blueprint Proposed",C14="Pilot Proposed",C14="Blueprint Funded",C14="Pilot Funded",C14="Won"),U14=""),"WARN: Stage requires reply date",IF(AND(X14="Qualified",U14=""),"WARN: Qualified without reply date",IF(AND(C14="Qualified",X14&lt;&gt;"Qualified"),"WARN: Qualified stage mismatch",IF(AND(X14="Qualified",NOT(OR(C14="Qualified",C14="Blueprint Proposed",C14="Pilot Proposed",C14="Blueprint Funded",C14="Pilot Funded",C14="Won"))),"WARN: Qualified value stage mismatch",IF(AND(Z14&gt;0,NOT(OR(Y14="Blueprint",Y14="Direct Pilot"))),"WARN: Quote without sales path",IF(AND(OR(C14="Blueprint Proposed",C14="Blueprint Funded"),Y14&lt;&gt;"Blueprint"),"WARN: Blueprint stage path mismatch",IF(AND(OR(C14="Pilot Proposed",C14="Pilot Funded"),Y14&lt;&gt;"Direct Pilot"),"WARN: Pilot stage path mismatch",IF(AND(OR(C14="Blueprint Proposed",C14="Pilot Proposed",C14="Blueprint Funded",C14="Pilot Funded",C14="Won"),Z14&lt;=0),"WARN: Offer stage without quote",IF(AND(Z14&gt;0,NOT(OR(C14="Blueprint Proposed",C14="Pilot Proposed",C14="Blueprint Funded",C14="Pilot Funded",C14="Won"))),"WARN: Quote stage mismatch",IF(AND(AA14&gt;0,Z14&lt;=0),"WARN: Funded without quote",IF(AND(OR(C14="Blueprint Funded",C14="Pilot Funded",C14="Won"),AA14&lt;=0),"WARN: Funded stage without amount",IF(AND(AA14&gt;0,NOT(OR(C14="Blueprint Funded",C14="Pilot Funded",C14="Won"))),"WARN: Funded value stage mismatch","OK"))))))))))))))</f>
        <v/>
      </c>
    </row>
    <row r="15" ht="210" customHeight="1">
      <c r="A15" s="63" t="inlineStr">
        <is>
          <t>Hold</t>
        </is>
      </c>
      <c r="B15" s="63" t="inlineStr">
        <is>
          <t>Hold</t>
        </is>
      </c>
      <c r="C15" s="103" t="inlineStr">
        <is>
          <t>Hold</t>
        </is>
      </c>
      <c r="D15" s="63" t="inlineStr">
        <is>
          <t>Lead Response</t>
        </is>
      </c>
      <c r="E15" s="199">
        <f>IF(G15&gt;=90,"A",IF(G15&gt;=80,"B",IF(G15&gt;=70,"C","D")))</f>
        <v/>
      </c>
      <c r="F15" s="63" t="inlineStr">
        <is>
          <t>Upwork:~022080037748505517610</t>
        </is>
      </c>
      <c r="G15" s="395" t="n">
        <v>75</v>
      </c>
      <c r="H15" s="63" t="inlineStr">
        <is>
          <t>Upwork</t>
        </is>
      </c>
      <c r="I15" s="63" t="inlineStr">
        <is>
          <t>Agentic AI Customer Support System for Real Estate Business</t>
        </is>
      </c>
      <c r="J15" s="63" t="inlineStr">
        <is>
          <t>$200.00</t>
        </is>
      </c>
      <c r="K15" s="63" t="inlineStr">
        <is>
          <t>20 to 50</t>
        </is>
      </c>
      <c r="L15" s="63" t="inlineStr">
        <is>
          <t>5 days ago</t>
        </is>
      </c>
      <c r="M15" s="63" t="inlineStr">
        <is>
          <t>A real-estate sales agent must answer questions, qualify leads, handle objections, book meetings, and send conversation history to CRM, with chat and possibly voice.</t>
        </is>
      </c>
      <c r="N15" s="63" t="inlineStr">
        <is>
          <t>One channel, one qualification flow, and one CRM handoff; defer voice until the chat path is stable.</t>
        </is>
      </c>
      <c r="O15" s="63" t="inlineStr">
        <is>
          <t>I saw the real-estate sales-agent brief as a chat-first qualification and booking system with CRM handoff. I would keep the first pilot to one channel, one objection path, and one clean handoff before adding voice.
I packaged that exact pilot boundary here: https://dali.agents.ge/for/upwork/lead-response?ref=uw-022080037748505517610
If that boundary matches your brief, reply here in Upwork with your primary intake channel, CRM, and the lead classes that must always wait for a person. I will turn those inputs into the first replay set and pass/fail acceptance test before implementation.</t>
        </is>
      </c>
      <c r="P15" s="63" t="inlineStr">
        <is>
          <t>https://dali.agents.ge/for/upwork/lead-response?ref=uw-022080037748505517610</t>
        </is>
      </c>
      <c r="Q15" s="63" t="inlineStr">
        <is>
          <t>https://www.upwork.com/jobs/span-class-highlight-Agentic-span-span-class-highlight-span-Customer-Support-System-for-Real-Estate-Business_~022080037748505517610/?referrer_url_path=/nx/search/jobs/</t>
        </is>
      </c>
      <c r="R15" s="63" t="inlineStr">
        <is>
          <t>High confidence; the $200 budget and requirement for proven sales-agent or voice examples make this a holdout.</t>
        </is>
      </c>
      <c r="S15" s="396" t="n"/>
      <c r="T15" s="103" t="inlineStr">
        <is>
          <t>Unknown</t>
        </is>
      </c>
      <c r="U15" s="396" t="n"/>
      <c r="V15" s="103" t="n"/>
      <c r="W15" s="103" t="n"/>
      <c r="X15" s="103" t="inlineStr">
        <is>
          <t>Not Evaluated</t>
        </is>
      </c>
      <c r="Y15" s="103" t="inlineStr">
        <is>
          <t>Hold</t>
        </is>
      </c>
      <c r="Z15" s="397" t="n"/>
      <c r="AA15" s="397" t="n"/>
      <c r="AB15" s="103" t="n"/>
      <c r="AC15" s="398" t="n"/>
      <c r="AD15" s="397" t="n"/>
      <c r="AE15" s="399">
        <f>IFERROR((AA15-AD15)/AA15,"")</f>
        <v/>
      </c>
      <c r="AF15" s="396" t="n"/>
      <c r="AG15" s="119" t="inlineStr">
        <is>
          <t>Hold</t>
        </is>
      </c>
      <c r="AH15" s="127" t="inlineStr">
        <is>
          <t>Not Checked</t>
        </is>
      </c>
      <c r="AI15" s="123" t="inlineStr">
        <is>
          <t>Hold row; not part of the current live-listing audit.</t>
        </is>
      </c>
      <c r="AJ15" s="123" t="str"/>
      <c r="AK15" s="139">
        <f>IF(AND(U15&lt;&gt;"",S15=""),"WARN: Reply date without sent date",IF(AND(OR(C15="Sent",C15="Replied",C15="Qualified",C15="Blueprint Proposed",C15="Pilot Proposed",C15="Blueprint Funded",C15="Pilot Funded",C15="Won"),S15=""),"WARN: Stage requires sent date",IF(AND(OR(C15="Replied",C15="Qualified",C15="Blueprint Proposed",C15="Pilot Proposed",C15="Blueprint Funded",C15="Pilot Funded",C15="Won"),U15=""),"WARN: Stage requires reply date",IF(AND(X15="Qualified",U15=""),"WARN: Qualified without reply date",IF(AND(C15="Qualified",X15&lt;&gt;"Qualified"),"WARN: Qualified stage mismatch",IF(AND(X15="Qualified",NOT(OR(C15="Qualified",C15="Blueprint Proposed",C15="Pilot Proposed",C15="Blueprint Funded",C15="Pilot Funded",C15="Won"))),"WARN: Qualified value stage mismatch",IF(AND(Z15&gt;0,NOT(OR(Y15="Blueprint",Y15="Direct Pilot"))),"WARN: Quote without sales path",IF(AND(OR(C15="Blueprint Proposed",C15="Blueprint Funded"),Y15&lt;&gt;"Blueprint"),"WARN: Blueprint stage path mismatch",IF(AND(OR(C15="Pilot Proposed",C15="Pilot Funded"),Y15&lt;&gt;"Direct Pilot"),"WARN: Pilot stage path mismatch",IF(AND(OR(C15="Blueprint Proposed",C15="Pilot Proposed",C15="Blueprint Funded",C15="Pilot Funded",C15="Won"),Z15&lt;=0),"WARN: Offer stage without quote",IF(AND(Z15&gt;0,NOT(OR(C15="Blueprint Proposed",C15="Pilot Proposed",C15="Blueprint Funded",C15="Pilot Funded",C15="Won"))),"WARN: Quote stage mismatch",IF(AND(AA15&gt;0,Z15&lt;=0),"WARN: Funded without quote",IF(AND(OR(C15="Blueprint Funded",C15="Pilot Funded",C15="Won"),AA15&lt;=0),"WARN: Funded stage without amount",IF(AND(AA15&gt;0,NOT(OR(C15="Blueprint Funded",C15="Pilot Funded",C15="Won"))),"WARN: Funded value stage mismatch","OK"))))))))))))))</f>
        <v/>
      </c>
    </row>
    <row r="16" ht="210" customHeight="1">
      <c r="A16" s="63" t="inlineStr">
        <is>
          <t>Wave 1</t>
        </is>
      </c>
      <c r="B16" s="63" t="inlineStr">
        <is>
          <t>Landing Link</t>
        </is>
      </c>
      <c r="C16" s="103" t="inlineStr">
        <is>
          <t>Not Sent</t>
        </is>
      </c>
      <c r="D16" s="63" t="inlineStr">
        <is>
          <t>Client Inbox</t>
        </is>
      </c>
      <c r="E16" s="199">
        <f>IF(G16&gt;=90,"A",IF(G16&gt;=80,"B",IF(G16&gt;=70,"C","D")))</f>
        <v/>
      </c>
      <c r="F16" s="63" t="inlineStr">
        <is>
          <t>FL.ru:5515592</t>
        </is>
      </c>
      <c r="G16" s="395" t="n">
        <v>95</v>
      </c>
      <c r="H16" s="63" t="inlineStr">
        <is>
          <t>FL.ru</t>
        </is>
      </c>
      <c r="I16" s="63" t="inlineStr">
        <is>
          <t>Внедрение ИИ-агента для автоматизации переписок с клиентами</t>
        </is>
      </c>
      <c r="J16" s="63" t="inlineStr">
        <is>
          <t>по договоренности</t>
        </is>
      </c>
      <c r="K16" s="63" t="inlineStr">
        <is>
          <t>26</t>
        </is>
      </c>
      <c r="L16" s="63" t="inlineStr">
        <is>
          <t>not saved</t>
        </is>
      </c>
      <c r="M16" s="63" t="inlineStr">
        <is>
          <t>Агент для переписки в мессенджерах и по email с интеграцией в коробочный Битрикс24.</t>
        </is>
      </c>
      <c r="N16" s="63" t="inlineStr">
        <is>
          <t>Один сценарий переписки, один контур Битрикс24, ручное подтверждение и понятные правила доступа.</t>
        </is>
      </c>
      <c r="O16" s="63" t="inlineStr">
        <is>
          <t>Нужен ИИ-агент для переписок в мессенджерах и email с интеграцией в коробочный Битрикс24.
У нас в Dali Agency уже собрано готовое продуктовое ядро client-inbox: входящее сообщение → утвержденные источники → черновик ответа + история → разрешенные действия → эскалация, если нет опоры.
Мы не пишем систему с нуля. Оплачиваемая работа - кастомизация под вас: ваш канал, CRM, базу ответов и действия, которые требуют подтверждения человеком.
Первый пилот кастомизации, который я бы зафиксировал: один канал, один workflow: входящее → черновик ответа → ручное подтверждение → запись в Битрикс24.
Упакованная граница пилота и как мы это ведем: https://dali.agents.ge/ru/solutions/client-inbox?ref=fl-5515592
Если граница совпадает, ответьте здесь в проекте FL.ru и пришлите один канал, один набор утвержденных источников и действия, которые всегда ждут человека. Я подтвержу fit и пришлю фиксированный milestone пилота (или короткий платный blueprint, если scope еще рыхлый) до начала реализации.</t>
        </is>
      </c>
      <c r="P16" s="63" t="inlineStr">
        <is>
          <t>https://dali.agents.ge/ru/solutions/client-inbox?ref=fl-5515592</t>
        </is>
      </c>
      <c r="Q16" s="63" t="inlineStr">
        <is>
          <t>https://www.fl.ru/projects/5515592/vnedrenie-ii-agenta-dlya-avtomatizatsii-perepisok-s-klientami.html</t>
        </is>
      </c>
      <c r="R16" s="63" t="inlineStr">
        <is>
          <t>High confidence; 26 ответов, бюджет не указан, privacy, доступы к CRM и approval не описаны.</t>
        </is>
      </c>
      <c r="S16" s="396" t="n"/>
      <c r="T16" s="103" t="inlineStr">
        <is>
          <t>Unknown</t>
        </is>
      </c>
      <c r="U16" s="396" t="n"/>
      <c r="V16" s="103" t="n"/>
      <c r="W16" s="103" t="n"/>
      <c r="X16" s="103" t="inlineStr">
        <is>
          <t>Not Evaluated</t>
        </is>
      </c>
      <c r="Y16" s="103" t="inlineStr">
        <is>
          <t>Unassigned</t>
        </is>
      </c>
      <c r="Z16" s="397" t="n"/>
      <c r="AA16" s="397" t="n"/>
      <c r="AB16" s="103" t="n"/>
      <c r="AC16" s="398" t="n"/>
      <c r="AD16" s="397" t="n"/>
      <c r="AE16" s="399">
        <f>IFERROR((AA16-AD16)/AA16,"")</f>
        <v/>
      </c>
      <c r="AF16" s="396" t="n"/>
      <c r="AG16" s="119" t="inlineStr">
        <is>
          <t>Batch A</t>
        </is>
      </c>
      <c r="AH16" s="127" t="inlineStr">
        <is>
          <t>Open</t>
        </is>
      </c>
      <c r="AI16" s="123" t="inlineStr">
        <is>
          <t>Direct page returned 200 with an active response CTA; title and scope matched.</t>
        </is>
      </c>
      <c r="AJ16" s="123" t="inlineStr">
        <is>
          <t>2026-07-30 03:13 +04</t>
        </is>
      </c>
      <c r="AK16" s="139">
        <f>IF(AND(U16&lt;&gt;"",S16=""),"WARN: Reply date without sent date",IF(AND(OR(C16="Sent",C16="Replied",C16="Qualified",C16="Blueprint Proposed",C16="Pilot Proposed",C16="Blueprint Funded",C16="Pilot Funded",C16="Won"),S16=""),"WARN: Stage requires sent date",IF(AND(OR(C16="Replied",C16="Qualified",C16="Blueprint Proposed",C16="Pilot Proposed",C16="Blueprint Funded",C16="Pilot Funded",C16="Won"),U16=""),"WARN: Stage requires reply date",IF(AND(X16="Qualified",U16=""),"WARN: Qualified without reply date",IF(AND(C16="Qualified",X16&lt;&gt;"Qualified"),"WARN: Qualified stage mismatch",IF(AND(X16="Qualified",NOT(OR(C16="Qualified",C16="Blueprint Proposed",C16="Pilot Proposed",C16="Blueprint Funded",C16="Pilot Funded",C16="Won"))),"WARN: Qualified value stage mismatch",IF(AND(Z16&gt;0,NOT(OR(Y16="Blueprint",Y16="Direct Pilot"))),"WARN: Quote without sales path",IF(AND(OR(C16="Blueprint Proposed",C16="Blueprint Funded"),Y16&lt;&gt;"Blueprint"),"WARN: Blueprint stage path mismatch",IF(AND(OR(C16="Pilot Proposed",C16="Pilot Funded"),Y16&lt;&gt;"Direct Pilot"),"WARN: Pilot stage path mismatch",IF(AND(OR(C16="Blueprint Proposed",C16="Pilot Proposed",C16="Blueprint Funded",C16="Pilot Funded",C16="Won"),Z16&lt;=0),"WARN: Offer stage without quote",IF(AND(Z16&gt;0,NOT(OR(C16="Blueprint Proposed",C16="Pilot Proposed",C16="Blueprint Funded",C16="Pilot Funded",C16="Won"))),"WARN: Quote stage mismatch",IF(AND(AA16&gt;0,Z16&lt;=0),"WARN: Funded without quote",IF(AND(OR(C16="Blueprint Funded",C16="Pilot Funded",C16="Won"),AA16&lt;=0),"WARN: Funded stage without amount",IF(AND(AA16&gt;0,NOT(OR(C16="Blueprint Funded",C16="Pilot Funded",C16="Won"))),"WARN: Funded value stage mismatch","OK"))))))))))))))</f>
        <v/>
      </c>
    </row>
    <row r="17" ht="210" customHeight="1">
      <c r="A17" s="63" t="inlineStr">
        <is>
          <t>Wave 1</t>
        </is>
      </c>
      <c r="B17" s="63" t="inlineStr">
        <is>
          <t>Landing Link</t>
        </is>
      </c>
      <c r="C17" s="103" t="inlineStr">
        <is>
          <t>Not Sent</t>
        </is>
      </c>
      <c r="D17" s="63" t="inlineStr">
        <is>
          <t>Client Inbox</t>
        </is>
      </c>
      <c r="E17" s="199">
        <f>IF(G17&gt;=90,"A",IF(G17&gt;=80,"B",IF(G17&gt;=70,"C","D")))</f>
        <v/>
      </c>
      <c r="F17" s="63" t="inlineStr">
        <is>
          <t>Upwork:~022069443845701876220</t>
        </is>
      </c>
      <c r="G17" s="395" t="n">
        <v>95</v>
      </c>
      <c r="H17" s="63" t="inlineStr">
        <is>
          <t>Upwork</t>
        </is>
      </c>
      <c r="I17" s="63" t="inlineStr">
        <is>
          <t>AI Automation Engineer: Build a Custom Claude Customer Service Agent</t>
        </is>
      </c>
      <c r="J17" s="63" t="inlineStr">
        <is>
          <t>Hourly: $40.00 - $80.00</t>
        </is>
      </c>
      <c r="K17" s="63" t="inlineStr">
        <is>
          <t>50+</t>
        </is>
      </c>
      <c r="L17" s="63" t="inlineStr">
        <is>
          <t>last month</t>
        </is>
      </c>
      <c r="M17" s="63" t="inlineStr">
        <is>
          <t>A production Claude customer-service agent must match the team tone, work with files and internal knowledge, send email, update CRM, run only approved workflows, and escalate sensitive actions.</t>
        </is>
      </c>
      <c r="N17" s="63" t="inlineStr">
        <is>
          <t>One customer channel, one approved answer and action policy, one CRM history path, one knowledge or file source set, and human review for sensitive actions.</t>
        </is>
      </c>
      <c r="O17" s="63" t="inlineStr">
        <is>
          <t>This is not "just a chatbot": controlled customer responses across approved knowledge, files, email, and CRM, with sensitive actions stopped for review.
We already have a production-ready product core for this at Dali Agency (client-inbox core): channel message → approved knowledge → draft reply + case history → permitted actions → escalation when evidence is missing.
We are not starting from a blank repo. The paid work is customization under your stack: your channel, CRM, approved answer sources, and the actions that need human confirmation.
First customization pilot I would lock: one channel, approved knowledge + files, CRM writeback, stop rules for refunds/account changes/unsupported answers.
Packaged boundary + how we run that pilot: https://dali.agents.ge/for/upwork/client-inbox?ref=uw-022069443845701876220
If that matches, reply here in Upwork with one channel, one approved source set, and the actions that must always wait for a person. I will confirm fit and send a fixed pilot milestone (or a short paid blueprint if scope is still loose) before any implementation starts.</t>
        </is>
      </c>
      <c r="P17" s="63" t="inlineStr">
        <is>
          <t>https://dali.agents.ge/for/upwork/client-inbox?ref=uw-022069443845701876220</t>
        </is>
      </c>
      <c r="Q17" s="63" t="inlineStr">
        <is>
          <t>https://www.upwork.com/jobs/span-class-highlight-span-span-class-highlight-Automation-span-Engineer-Build-Custom-Claude-Customer-Service-span-class-highlight-Agent-span_~022069443845701876220/?referrer_url_path=/nx/search/jobs/</t>
        </is>
      </c>
      <c r="R17" s="63" t="inlineStr">
        <is>
          <t>High confidence; verified client with rating 5 and over $3k spend, but 50+ proposals and a requirement for production communication and MCP or tool-use proof.</t>
        </is>
      </c>
      <c r="S17" s="396" t="n"/>
      <c r="T17" s="103" t="inlineStr">
        <is>
          <t>Unknown</t>
        </is>
      </c>
      <c r="U17" s="396" t="n"/>
      <c r="V17" s="103" t="n"/>
      <c r="W17" s="103" t="n"/>
      <c r="X17" s="103" t="inlineStr">
        <is>
          <t>Not Evaluated</t>
        </is>
      </c>
      <c r="Y17" s="103" t="inlineStr">
        <is>
          <t>Unassigned</t>
        </is>
      </c>
      <c r="Z17" s="397" t="n"/>
      <c r="AA17" s="397" t="n"/>
      <c r="AB17" s="103" t="n"/>
      <c r="AC17" s="398" t="n"/>
      <c r="AD17" s="397" t="n"/>
      <c r="AE17" s="399">
        <f>IFERROR((AA17-AD17)/AA17,"")</f>
        <v/>
      </c>
      <c r="AF17" s="396" t="n"/>
      <c r="AG17" s="119" t="inlineStr">
        <is>
          <t>Batch C</t>
        </is>
      </c>
      <c r="AH17" s="127" t="inlineStr">
        <is>
          <t>Manual Check</t>
        </is>
      </c>
      <c r="AI17" s="123" t="inlineStr">
        <is>
          <t>Anonymous direct page was blocked by a Cloudflare challenge. Verify open status and scope inside Upwork.</t>
        </is>
      </c>
      <c r="AJ17" s="123" t="inlineStr">
        <is>
          <t>2026-07-30 03:14 +04</t>
        </is>
      </c>
      <c r="AK17" s="139">
        <f>IF(AND(U17&lt;&gt;"",S17=""),"WARN: Reply date without sent date",IF(AND(OR(C17="Sent",C17="Replied",C17="Qualified",C17="Blueprint Proposed",C17="Pilot Proposed",C17="Blueprint Funded",C17="Pilot Funded",C17="Won"),S17=""),"WARN: Stage requires sent date",IF(AND(OR(C17="Replied",C17="Qualified",C17="Blueprint Proposed",C17="Pilot Proposed",C17="Blueprint Funded",C17="Pilot Funded",C17="Won"),U17=""),"WARN: Stage requires reply date",IF(AND(X17="Qualified",U17=""),"WARN: Qualified without reply date",IF(AND(C17="Qualified",X17&lt;&gt;"Qualified"),"WARN: Qualified stage mismatch",IF(AND(X17="Qualified",NOT(OR(C17="Qualified",C17="Blueprint Proposed",C17="Pilot Proposed",C17="Blueprint Funded",C17="Pilot Funded",C17="Won"))),"WARN: Qualified value stage mismatch",IF(AND(Z17&gt;0,NOT(OR(Y17="Blueprint",Y17="Direct Pilot"))),"WARN: Quote without sales path",IF(AND(OR(C17="Blueprint Proposed",C17="Blueprint Funded"),Y17&lt;&gt;"Blueprint"),"WARN: Blueprint stage path mismatch",IF(AND(OR(C17="Pilot Proposed",C17="Pilot Funded"),Y17&lt;&gt;"Direct Pilot"),"WARN: Pilot stage path mismatch",IF(AND(OR(C17="Blueprint Proposed",C17="Pilot Proposed",C17="Blueprint Funded",C17="Pilot Funded",C17="Won"),Z17&lt;=0),"WARN: Offer stage without quote",IF(AND(Z17&gt;0,NOT(OR(C17="Blueprint Proposed",C17="Pilot Proposed",C17="Blueprint Funded",C17="Pilot Funded",C17="Won"))),"WARN: Quote stage mismatch",IF(AND(AA17&gt;0,Z17&lt;=0),"WARN: Funded without quote",IF(AND(OR(C17="Blueprint Funded",C17="Pilot Funded",C17="Won"),AA17&lt;=0),"WARN: Funded stage without amount",IF(AND(AA17&gt;0,NOT(OR(C17="Blueprint Funded",C17="Pilot Funded",C17="Won"))),"WARN: Funded value stage mismatch","OK"))))))))))))))</f>
        <v/>
      </c>
    </row>
    <row r="18" ht="210" customHeight="1">
      <c r="A18" s="63" t="inlineStr">
        <is>
          <t>Wave 1</t>
        </is>
      </c>
      <c r="B18" s="63" t="inlineStr">
        <is>
          <t>Landing Link</t>
        </is>
      </c>
      <c r="C18" s="103" t="inlineStr">
        <is>
          <t>Not Sent</t>
        </is>
      </c>
      <c r="D18" s="63" t="inlineStr">
        <is>
          <t>Client Inbox</t>
        </is>
      </c>
      <c r="E18" s="199">
        <f>IF(G18&gt;=90,"A",IF(G18&gt;=80,"B",IF(G18&gt;=70,"C","D")))</f>
        <v/>
      </c>
      <c r="F18" s="63" t="inlineStr">
        <is>
          <t>FL.ru:5514909</t>
        </is>
      </c>
      <c r="G18" s="395" t="n">
        <v>93</v>
      </c>
      <c r="H18" s="63" t="inlineStr">
        <is>
          <t>FL.ru</t>
        </is>
      </c>
      <c r="I18" s="63" t="inlineStr">
        <is>
          <t>Интеграция GPT и Битрикс для международной логистики</t>
        </is>
      </c>
      <c r="J18" s="63" t="inlineStr">
        <is>
          <t>по договоренности</t>
        </is>
      </c>
      <c r="K18" s="63" t="inlineStr">
        <is>
          <t>45</t>
        </is>
      </c>
      <c r="L18" s="63" t="inlineStr">
        <is>
          <t>not saved</t>
        </is>
      </c>
      <c r="M18" s="63" t="inlineStr">
        <is>
          <t>Для логистической компании нужна AI-система на базе Битрикс24 и n8n, но текущий процесс описан слишком широко.</t>
        </is>
      </c>
      <c r="N18" s="63" t="inlineStr">
        <is>
          <t>Один клиентский канал, один сценарий ответа или действия, запись результата в Битрикс24 и очередь подтверждения для исключений.</t>
        </is>
      </c>
      <c r="O18" s="63" t="inlineStr">
        <is>
          <t>GPT + Битрикс24 + n8n для международной логистики: ответы клиентам по утвержденному контексту и запись результата.
У нас в Dali Agency уже собрано готовое продуктовое ядро client-inbox: входящее сообщение → утвержденные источники → черновик ответа + история → разрешенные действия → эскалация, если нет опоры.
Мы не пишем систему с нуля. Оплачиваемая работа - кастомизация под вас: ваш канал, CRM, базу ответов и действия, которые требуют подтверждения человеком.
Первый пилот кастомизации, который я бы зафиксировал: один клиентский сценарий: входящее обращение → ответ по approved-контексту → запись результата в Битрикс24.
Упакованная граница пилота и как мы это ведем: https://dali.agents.ge/ru/solutions/client-inbox?ref=fl-5514909
Если граница совпадает, ответьте здесь в проекте FL.ru и пришлите один канал, один набор утвержденных источников и действия, которые всегда ждут человека. Я подтвержу fit и пришлю фиксированный milestone пилота (или короткий платный blueprint, если scope еще рыхлый) до начала реализации.</t>
        </is>
      </c>
      <c r="P18" s="63" t="inlineStr">
        <is>
          <t>https://dali.agents.ge/ru/solutions/client-inbox?ref=fl-5514909</t>
        </is>
      </c>
      <c r="Q18" s="63" t="inlineStr">
        <is>
          <t>https://www.fl.ru/projects/5514909/integratsiya-gpt-i-bitriks-dlya-mejdunarodnoy-logistiki-.html</t>
        </is>
      </c>
      <c r="R18" s="63" t="inlineStr">
        <is>
          <t>High confidence; 45 ответов, широкий scope, бюджет и acceptance criteria не определены.</t>
        </is>
      </c>
      <c r="S18" s="396" t="n"/>
      <c r="T18" s="103" t="inlineStr">
        <is>
          <t>Unknown</t>
        </is>
      </c>
      <c r="U18" s="396" t="n"/>
      <c r="V18" s="103" t="n"/>
      <c r="W18" s="103" t="n"/>
      <c r="X18" s="103" t="inlineStr">
        <is>
          <t>Not Evaluated</t>
        </is>
      </c>
      <c r="Y18" s="103" t="inlineStr">
        <is>
          <t>Unassigned</t>
        </is>
      </c>
      <c r="Z18" s="397" t="n"/>
      <c r="AA18" s="397" t="n"/>
      <c r="AB18" s="103" t="n"/>
      <c r="AC18" s="398" t="n"/>
      <c r="AD18" s="397" t="n"/>
      <c r="AE18" s="399">
        <f>IFERROR((AA18-AD18)/AA18,"")</f>
        <v/>
      </c>
      <c r="AF18" s="396" t="n"/>
      <c r="AG18" s="119" t="inlineStr">
        <is>
          <t>Batch B</t>
        </is>
      </c>
      <c r="AH18" s="127" t="inlineStr">
        <is>
          <t>Open</t>
        </is>
      </c>
      <c r="AI18" s="123" t="inlineStr">
        <is>
          <t>Direct page is open with 48 responses. Scope is broader than one pilot; pitch only the funded commercial-assistant first phase.</t>
        </is>
      </c>
      <c r="AJ18" s="123" t="inlineStr">
        <is>
          <t>2026-07-30 03:13 +04</t>
        </is>
      </c>
      <c r="AK18" s="139">
        <f>IF(AND(U18&lt;&gt;"",S18=""),"WARN: Reply date without sent date",IF(AND(OR(C18="Sent",C18="Replied",C18="Qualified",C18="Blueprint Proposed",C18="Pilot Proposed",C18="Blueprint Funded",C18="Pilot Funded",C18="Won"),S18=""),"WARN: Stage requires sent date",IF(AND(OR(C18="Replied",C18="Qualified",C18="Blueprint Proposed",C18="Pilot Proposed",C18="Blueprint Funded",C18="Pilot Funded",C18="Won"),U18=""),"WARN: Stage requires reply date",IF(AND(X18="Qualified",U18=""),"WARN: Qualified without reply date",IF(AND(C18="Qualified",X18&lt;&gt;"Qualified"),"WARN: Qualified stage mismatch",IF(AND(X18="Qualified",NOT(OR(C18="Qualified",C18="Blueprint Proposed",C18="Pilot Proposed",C18="Blueprint Funded",C18="Pilot Funded",C18="Won"))),"WARN: Qualified value stage mismatch",IF(AND(Z18&gt;0,NOT(OR(Y18="Blueprint",Y18="Direct Pilot"))),"WARN: Quote without sales path",IF(AND(OR(C18="Blueprint Proposed",C18="Blueprint Funded"),Y18&lt;&gt;"Blueprint"),"WARN: Blueprint stage path mismatch",IF(AND(OR(C18="Pilot Proposed",C18="Pilot Funded"),Y18&lt;&gt;"Direct Pilot"),"WARN: Pilot stage path mismatch",IF(AND(OR(C18="Blueprint Proposed",C18="Pilot Proposed",C18="Blueprint Funded",C18="Pilot Funded",C18="Won"),Z18&lt;=0),"WARN: Offer stage without quote",IF(AND(Z18&gt;0,NOT(OR(C18="Blueprint Proposed",C18="Pilot Proposed",C18="Blueprint Funded",C18="Pilot Funded",C18="Won"))),"WARN: Quote stage mismatch",IF(AND(AA18&gt;0,Z18&lt;=0),"WARN: Funded without quote",IF(AND(OR(C18="Blueprint Funded",C18="Pilot Funded",C18="Won"),AA18&lt;=0),"WARN: Funded stage without amount",IF(AND(AA18&gt;0,NOT(OR(C18="Blueprint Funded",C18="Pilot Funded",C18="Won"))),"WARN: Funded value stage mismatch","OK"))))))))))))))</f>
        <v/>
      </c>
    </row>
    <row r="19" ht="210" customHeight="1">
      <c r="A19" s="63" t="inlineStr">
        <is>
          <t>Wave 1</t>
        </is>
      </c>
      <c r="B19" s="63" t="inlineStr">
        <is>
          <t>Landing Link</t>
        </is>
      </c>
      <c r="C19" s="103" t="inlineStr">
        <is>
          <t>Not Sent</t>
        </is>
      </c>
      <c r="D19" s="63" t="inlineStr">
        <is>
          <t>Client Inbox</t>
        </is>
      </c>
      <c r="E19" s="199">
        <f>IF(G19&gt;=90,"A",IF(G19&gt;=80,"B",IF(G19&gt;=70,"C","D")))</f>
        <v/>
      </c>
      <c r="F19" s="63" t="inlineStr">
        <is>
          <t>FL.ru:5513206</t>
        </is>
      </c>
      <c r="G19" s="395" t="n">
        <v>92</v>
      </c>
      <c r="H19" s="63" t="inlineStr">
        <is>
          <t>FL.ru</t>
        </is>
      </c>
      <c r="I19" s="63" t="inlineStr">
        <is>
          <t>AI агент</t>
        </is>
      </c>
      <c r="J19" s="63" t="inlineStr">
        <is>
          <t>по договоренности</t>
        </is>
      </c>
      <c r="K19" s="63" t="inlineStr">
        <is>
          <t>17</t>
        </is>
      </c>
      <c r="L19" s="63" t="inlineStr">
        <is>
          <t>not saved</t>
        </is>
      </c>
      <c r="M19" s="63" t="inlineStr">
        <is>
          <t>Агент в Битрикс24 должен отслеживать открытые линии, разбирать файлы и работать с клиентскими чатами.</t>
        </is>
      </c>
      <c r="N19" s="63" t="inlineStr">
        <is>
          <t>Одна открытая линия, один набор файлов и правил ответа, одна запись истории в Битрикс24 и обязательный human review для чувствительных действий.</t>
        </is>
      </c>
      <c r="O19" s="63" t="inlineStr">
        <is>
          <t>AI-агент для открытых линий, чатов и файлов внутри Битрикс24.
У нас в Dali Agency уже собрано готовое продуктовое ядро client-inbox: входящее сообщение → утвержденные источники → черновик ответа + история → разрешенные действия → эскалация, если нет опоры.
Мы не пишем систему с нуля. Оплачиваемая работа - кастомизация под вас: ваш канал, CRM, базу ответов и действия, которые требуют подтверждения человеком.
Первый пилот кастомизации, который я бы зафиксировал: одна линия: прочитать обращение и файл → подготовить ответ → записать историю → передать человеку спорные кейсы.
Упакованная граница пилота и как мы это ведем: https://dali.agents.ge/ru/solutions/client-inbox?ref=fl-5513206
Если граница совпадает, ответьте здесь в проекте FL.ru и пришлите один канал, один набор утвержденных источников и действия, которые всегда ждут человека. Я подтвержу fit и пришлю фиксированный milestone пилота (или короткий платный blueprint, если scope еще рыхлый) до начала реализации.</t>
        </is>
      </c>
      <c r="P19" s="63" t="inlineStr">
        <is>
          <t>https://dali.agents.ge/ru/solutions/client-inbox?ref=fl-5513206</t>
        </is>
      </c>
      <c r="Q19" s="63" t="inlineStr">
        <is>
          <t>https://www.fl.ru/projects/5513206/ai-agent.html</t>
        </is>
      </c>
      <c r="R19" s="63" t="inlineStr">
        <is>
          <t>High confidence; 17 ответов, доступ к чатам и файлам, персональные данные и human review требуют отдельной проверки.</t>
        </is>
      </c>
      <c r="S19" s="396" t="n"/>
      <c r="T19" s="103" t="inlineStr">
        <is>
          <t>Unknown</t>
        </is>
      </c>
      <c r="U19" s="396" t="n"/>
      <c r="V19" s="103" t="n"/>
      <c r="W19" s="103" t="n"/>
      <c r="X19" s="103" t="inlineStr">
        <is>
          <t>Not Evaluated</t>
        </is>
      </c>
      <c r="Y19" s="103" t="inlineStr">
        <is>
          <t>Unassigned</t>
        </is>
      </c>
      <c r="Z19" s="397" t="n"/>
      <c r="AA19" s="397" t="n"/>
      <c r="AB19" s="103" t="n"/>
      <c r="AC19" s="398" t="n"/>
      <c r="AD19" s="397" t="n"/>
      <c r="AE19" s="399">
        <f>IFERROR((AA19-AD19)/AA19,"")</f>
        <v/>
      </c>
      <c r="AF19" s="396" t="n"/>
      <c r="AG19" s="119" t="inlineStr">
        <is>
          <t>Batch C</t>
        </is>
      </c>
      <c r="AH19" s="127" t="inlineStr">
        <is>
          <t>Open</t>
        </is>
      </c>
      <c r="AI19" s="123" t="inlineStr">
        <is>
          <t>Direct page returned 200 with an active response CTA; Bitrix24, chat, files, OCR, CRM, and human-escalation scope matched.</t>
        </is>
      </c>
      <c r="AJ19" s="123" t="inlineStr">
        <is>
          <t>2026-07-30 03:14 +04</t>
        </is>
      </c>
      <c r="AK19" s="139">
        <f>IF(AND(U19&lt;&gt;"",S19=""),"WARN: Reply date without sent date",IF(AND(OR(C19="Sent",C19="Replied",C19="Qualified",C19="Blueprint Proposed",C19="Pilot Proposed",C19="Blueprint Funded",C19="Pilot Funded",C19="Won"),S19=""),"WARN: Stage requires sent date",IF(AND(OR(C19="Replied",C19="Qualified",C19="Blueprint Proposed",C19="Pilot Proposed",C19="Blueprint Funded",C19="Pilot Funded",C19="Won"),U19=""),"WARN: Stage requires reply date",IF(AND(X19="Qualified",U19=""),"WARN: Qualified without reply date",IF(AND(C19="Qualified",X19&lt;&gt;"Qualified"),"WARN: Qualified stage mismatch",IF(AND(X19="Qualified",NOT(OR(C19="Qualified",C19="Blueprint Proposed",C19="Pilot Proposed",C19="Blueprint Funded",C19="Pilot Funded",C19="Won"))),"WARN: Qualified value stage mismatch",IF(AND(Z19&gt;0,NOT(OR(Y19="Blueprint",Y19="Direct Pilot"))),"WARN: Quote without sales path",IF(AND(OR(C19="Blueprint Proposed",C19="Blueprint Funded"),Y19&lt;&gt;"Blueprint"),"WARN: Blueprint stage path mismatch",IF(AND(OR(C19="Pilot Proposed",C19="Pilot Funded"),Y19&lt;&gt;"Direct Pilot"),"WARN: Pilot stage path mismatch",IF(AND(OR(C19="Blueprint Proposed",C19="Pilot Proposed",C19="Blueprint Funded",C19="Pilot Funded",C19="Won"),Z19&lt;=0),"WARN: Offer stage without quote",IF(AND(Z19&gt;0,NOT(OR(C19="Blueprint Proposed",C19="Pilot Proposed",C19="Blueprint Funded",C19="Pilot Funded",C19="Won"))),"WARN: Quote stage mismatch",IF(AND(AA19&gt;0,Z19&lt;=0),"WARN: Funded without quote",IF(AND(OR(C19="Blueprint Funded",C19="Pilot Funded",C19="Won"),AA19&lt;=0),"WARN: Funded stage without amount",IF(AND(AA19&gt;0,NOT(OR(C19="Blueprint Funded",C19="Pilot Funded",C19="Won"))),"WARN: Funded value stage mismatch","OK"))))))))))))))</f>
        <v/>
      </c>
    </row>
    <row r="20" ht="210" customHeight="1">
      <c r="A20" s="63" t="inlineStr">
        <is>
          <t>Wave 1</t>
        </is>
      </c>
      <c r="B20" s="63" t="inlineStr">
        <is>
          <t>Landing Link</t>
        </is>
      </c>
      <c r="C20" s="103" t="inlineStr">
        <is>
          <t>Not Sent</t>
        </is>
      </c>
      <c r="D20" s="63" t="inlineStr">
        <is>
          <t>Client Inbox</t>
        </is>
      </c>
      <c r="E20" s="199">
        <f>IF(G20&gt;=90,"A",IF(G20&gt;=80,"B",IF(G20&gt;=70,"C","D")))</f>
        <v/>
      </c>
      <c r="F20" s="63" t="inlineStr">
        <is>
          <t>Upwork:~022081818297985759122</t>
        </is>
      </c>
      <c r="G20" s="395" t="n">
        <v>70</v>
      </c>
      <c r="H20" s="63" t="inlineStr">
        <is>
          <t>Upwork</t>
        </is>
      </c>
      <c r="I20" s="63" t="inlineStr">
        <is>
          <t>n8n AI Automation Specialist for Chatbot</t>
        </is>
      </c>
      <c r="J20" s="63" t="inlineStr">
        <is>
          <t>Hourly: $19-$40</t>
        </is>
      </c>
      <c r="K20" s="63" t="inlineStr">
        <is>
          <t>20 to 50</t>
        </is>
      </c>
      <c r="L20" s="63" t="inlineStr">
        <is>
          <t>yesterday</t>
        </is>
      </c>
      <c r="M20" s="63" t="inlineStr">
        <is>
          <t>An omnichannel assistant called Sara must use n8n, RAG, and web chat across several customer platforms, but the channels, sources, CRM, and quality criteria are not named.</t>
        </is>
      </c>
      <c r="N20" s="63" t="inlineStr">
        <is>
          <t>One customer channel, one approved knowledge set, one CRM or case-history destination, and one escalation queue.</t>
        </is>
      </c>
      <c r="O20" s="63" t="inlineStr">
        <is>
          <t>Sara needs an omnichannel assistant with RAG, n8n, and controlled customer replies - not an unsupervised chatbot.
We already have a production-ready product core for this at Dali Agency (client-inbox core): channel message → approved knowledge → draft reply + case history → permitted actions → escalation when evidence is missing.
We are not starting from a blank repo. The paid work is customization under your stack: your channel, CRM, approved answer sources, and the actions that need human confirmation.
First customization pilot I would lock: one customer channel, one approved RAG source set, one case-history destination, and a hard escalation rule.
Packaged boundary + how we run that pilot: https://dali.agents.ge/for/upwork/client-inbox?ref=uw-022081818297985759122
If that matches, reply here in Upwork with one channel, one approved source set, and the actions that must always wait for a person. I will confirm fit and send a fixed pilot milestone (or a short paid blueprint if scope is still loose) before any implementation starts.</t>
        </is>
      </c>
      <c r="P20" s="63" t="inlineStr">
        <is>
          <t>https://dali.agents.ge/for/upwork/client-inbox?ref=uw-022081818297985759122</t>
        </is>
      </c>
      <c r="Q20" s="63" t="inlineStr">
        <is>
          <t>https://www.upwork.com/jobs/n8n-Automation-Specialist-for-Chatbot_~022081818297985759122/?referrer_url_path=find_work_home</t>
        </is>
      </c>
      <c r="R20" s="63" t="inlineStr">
        <is>
          <t>Medium-high confidence; 20-50 proposals, unverified client, and an under-specified brief with no named channels, sources, CRM, or deliverables.</t>
        </is>
      </c>
      <c r="S20" s="396" t="n"/>
      <c r="T20" s="103" t="inlineStr">
        <is>
          <t>Unknown</t>
        </is>
      </c>
      <c r="U20" s="396" t="n"/>
      <c r="V20" s="103" t="n"/>
      <c r="W20" s="103" t="n"/>
      <c r="X20" s="103" t="inlineStr">
        <is>
          <t>Not Evaluated</t>
        </is>
      </c>
      <c r="Y20" s="103" t="inlineStr">
        <is>
          <t>Unassigned</t>
        </is>
      </c>
      <c r="Z20" s="397" t="n"/>
      <c r="AA20" s="397" t="n"/>
      <c r="AB20" s="103" t="n"/>
      <c r="AC20" s="398" t="n"/>
      <c r="AD20" s="397" t="n"/>
      <c r="AE20" s="399">
        <f>IFERROR((AA20-AD20)/AA20,"")</f>
        <v/>
      </c>
      <c r="AF20" s="396" t="n"/>
      <c r="AG20" s="119" t="inlineStr">
        <is>
          <t>Batch A</t>
        </is>
      </c>
      <c r="AH20" s="127" t="inlineStr">
        <is>
          <t>Open</t>
        </is>
      </c>
      <c r="AI20" s="123" t="inlineStr">
        <is>
          <t>Full card accessible and scope matched. 20-50 proposals and client viewed yesterday.</t>
        </is>
      </c>
      <c r="AJ20" s="123" t="inlineStr">
        <is>
          <t>2026-07-30 03:16 +04</t>
        </is>
      </c>
      <c r="AK20" s="139">
        <f>IF(AND(U20&lt;&gt;"",S20=""),"WARN: Reply date without sent date",IF(AND(OR(C20="Sent",C20="Replied",C20="Qualified",C20="Blueprint Proposed",C20="Pilot Proposed",C20="Blueprint Funded",C20="Pilot Funded",C20="Won"),S20=""),"WARN: Stage requires sent date",IF(AND(OR(C20="Replied",C20="Qualified",C20="Blueprint Proposed",C20="Pilot Proposed",C20="Blueprint Funded",C20="Pilot Funded",C20="Won"),U20=""),"WARN: Stage requires reply date",IF(AND(X20="Qualified",U20=""),"WARN: Qualified without reply date",IF(AND(C20="Qualified",X20&lt;&gt;"Qualified"),"WARN: Qualified stage mismatch",IF(AND(X20="Qualified",NOT(OR(C20="Qualified",C20="Blueprint Proposed",C20="Pilot Proposed",C20="Blueprint Funded",C20="Pilot Funded",C20="Won"))),"WARN: Qualified value stage mismatch",IF(AND(Z20&gt;0,NOT(OR(Y20="Blueprint",Y20="Direct Pilot"))),"WARN: Quote without sales path",IF(AND(OR(C20="Blueprint Proposed",C20="Blueprint Funded"),Y20&lt;&gt;"Blueprint"),"WARN: Blueprint stage path mismatch",IF(AND(OR(C20="Pilot Proposed",C20="Pilot Funded"),Y20&lt;&gt;"Direct Pilot"),"WARN: Pilot stage path mismatch",IF(AND(OR(C20="Blueprint Proposed",C20="Pilot Proposed",C20="Blueprint Funded",C20="Pilot Funded",C20="Won"),Z20&lt;=0),"WARN: Offer stage without quote",IF(AND(Z20&gt;0,NOT(OR(C20="Blueprint Proposed",C20="Pilot Proposed",C20="Blueprint Funded",C20="Pilot Funded",C20="Won"))),"WARN: Quote stage mismatch",IF(AND(AA20&gt;0,Z20&lt;=0),"WARN: Funded without quote",IF(AND(OR(C20="Blueprint Funded",C20="Pilot Funded",C20="Won"),AA20&lt;=0),"WARN: Funded stage without amount",IF(AND(AA20&gt;0,NOT(OR(C20="Blueprint Funded",C20="Pilot Funded",C20="Won"))),"WARN: Funded value stage mismatch","OK"))))))))))))))</f>
        <v/>
      </c>
    </row>
    <row r="21" ht="210" customHeight="1">
      <c r="A21" s="63" t="inlineStr">
        <is>
          <t>Wave 1</t>
        </is>
      </c>
      <c r="B21" s="63" t="inlineStr">
        <is>
          <t>No-Link Diagnostic</t>
        </is>
      </c>
      <c r="C21" s="103" t="inlineStr">
        <is>
          <t>Not Sent</t>
        </is>
      </c>
      <c r="D21" s="63" t="inlineStr">
        <is>
          <t>Client Inbox</t>
        </is>
      </c>
      <c r="E21" s="199">
        <f>IF(G21&gt;=90,"A",IF(G21&gt;=80,"B",IF(G21&gt;=70,"C","D")))</f>
        <v/>
      </c>
      <c r="F21" s="63" t="inlineStr">
        <is>
          <t>FL.ru:5515230</t>
        </is>
      </c>
      <c r="G21" s="395" t="n">
        <v>90</v>
      </c>
      <c r="H21" s="63" t="inlineStr">
        <is>
          <t>FL.ru</t>
        </is>
      </c>
      <c r="I21" s="63" t="inlineStr">
        <is>
          <t>Подключить ИИ-ассистента для переписки и отправки фотографий в чате</t>
        </is>
      </c>
      <c r="J21" s="63" t="inlineStr">
        <is>
          <t>по договоренности</t>
        </is>
      </c>
      <c r="K21" s="63" t="inlineStr">
        <is>
          <t>24</t>
        </is>
      </c>
      <c r="L21" s="63" t="inlineStr">
        <is>
          <t>not saved</t>
        </is>
      </c>
      <c r="M21" s="63" t="inlineStr">
        <is>
          <t>Ассистент для переписки, фото и видео с клиентами с подключением к Kommo.</t>
        </is>
      </c>
      <c r="N21" s="63" t="inlineStr">
        <is>
          <t>Один чат workflow с правилом отправки медиа, логированием в CRM и явным human approval.</t>
        </is>
      </c>
      <c r="O21" s="63" t="inlineStr">
        <is>
          <t>Переписка и отправка фото/видео клиентам через Kommo с контролем действий.
У нас в Dali Agency уже собрано готовое продуктовое ядро client-inbox: входящее сообщение → утвержденные источники → черновик ответа + история → разрешенные действия → эскалация, если нет опоры.
Мы не пишем систему с нуля. Оплачиваемая работа - кастомизация под вас: ваш канал, CRM, базу ответов и действия, которые требуют подтверждения человеком.
Первый пилот кастомизации, который я бы зафиксировал: один чат, одно правило отправки медиа, ручное подтверждение перед любым внешним действием.
Если граница совпадает, ответьте здесь в проекте FL.ru и пришлите один канал, один набор утвержденных источников и действия, которые всегда ждут человека. Я подтвержу fit и пришлю фиксированный milestone пилота (или короткий платный blueprint, если scope еще рыхлый) до начала реализации.</t>
        </is>
      </c>
      <c r="P21" s="63" t="inlineStr">
        <is>
          <t>No link in diagnostic proposal</t>
        </is>
      </c>
      <c r="Q21" s="63" t="inlineStr">
        <is>
          <t>https://www.fl.ru/projects/5515230/podklyuchit-ii-asisstenta-dlya-prepiski-i-otpravki-fotografiy-v-chate.html</t>
        </is>
      </c>
      <c r="R21" s="63" t="inlineStr">
        <is>
          <t>High confidence; consent, media rights, CRM permissions и human approval не описаны.</t>
        </is>
      </c>
      <c r="S21" s="396" t="n"/>
      <c r="T21" s="103" t="inlineStr">
        <is>
          <t>Unknown</t>
        </is>
      </c>
      <c r="U21" s="396" t="n"/>
      <c r="V21" s="103" t="n"/>
      <c r="W21" s="103" t="n"/>
      <c r="X21" s="103" t="inlineStr">
        <is>
          <t>Not Evaluated</t>
        </is>
      </c>
      <c r="Y21" s="103" t="inlineStr">
        <is>
          <t>Unassigned</t>
        </is>
      </c>
      <c r="Z21" s="397" t="n"/>
      <c r="AA21" s="397" t="n"/>
      <c r="AB21" s="103" t="n"/>
      <c r="AC21" s="398" t="n"/>
      <c r="AD21" s="397" t="n"/>
      <c r="AE21" s="399">
        <f>IFERROR((AA21-AD21)/AA21,"")</f>
        <v/>
      </c>
      <c r="AF21" s="396" t="n"/>
      <c r="AG21" s="119" t="inlineStr">
        <is>
          <t>Batch B</t>
        </is>
      </c>
      <c r="AH21" s="127" t="inlineStr">
        <is>
          <t>Open</t>
        </is>
      </c>
      <c r="AI21" s="123" t="inlineStr">
        <is>
          <t>Direct page is open with 25 responses; client-chat, media, Kommo, and handoff scope still matches.</t>
        </is>
      </c>
      <c r="AJ21" s="123" t="inlineStr">
        <is>
          <t>2026-07-30 03:13 +04</t>
        </is>
      </c>
      <c r="AK21" s="139">
        <f>IF(AND(U21&lt;&gt;"",S21=""),"WARN: Reply date without sent date",IF(AND(OR(C21="Sent",C21="Replied",C21="Qualified",C21="Blueprint Proposed",C21="Pilot Proposed",C21="Blueprint Funded",C21="Pilot Funded",C21="Won"),S21=""),"WARN: Stage requires sent date",IF(AND(OR(C21="Replied",C21="Qualified",C21="Blueprint Proposed",C21="Pilot Proposed",C21="Blueprint Funded",C21="Pilot Funded",C21="Won"),U21=""),"WARN: Stage requires reply date",IF(AND(X21="Qualified",U21=""),"WARN: Qualified without reply date",IF(AND(C21="Qualified",X21&lt;&gt;"Qualified"),"WARN: Qualified stage mismatch",IF(AND(X21="Qualified",NOT(OR(C21="Qualified",C21="Blueprint Proposed",C21="Pilot Proposed",C21="Blueprint Funded",C21="Pilot Funded",C21="Won"))),"WARN: Qualified value stage mismatch",IF(AND(Z21&gt;0,NOT(OR(Y21="Blueprint",Y21="Direct Pilot"))),"WARN: Quote without sales path",IF(AND(OR(C21="Blueprint Proposed",C21="Blueprint Funded"),Y21&lt;&gt;"Blueprint"),"WARN: Blueprint stage path mismatch",IF(AND(OR(C21="Pilot Proposed",C21="Pilot Funded"),Y21&lt;&gt;"Direct Pilot"),"WARN: Pilot stage path mismatch",IF(AND(OR(C21="Blueprint Proposed",C21="Pilot Proposed",C21="Blueprint Funded",C21="Pilot Funded",C21="Won"),Z21&lt;=0),"WARN: Offer stage without quote",IF(AND(Z21&gt;0,NOT(OR(C21="Blueprint Proposed",C21="Pilot Proposed",C21="Blueprint Funded",C21="Pilot Funded",C21="Won"))),"WARN: Quote stage mismatch",IF(AND(AA21&gt;0,Z21&lt;=0),"WARN: Funded without quote",IF(AND(OR(C21="Blueprint Funded",C21="Pilot Funded",C21="Won"),AA21&lt;=0),"WARN: Funded stage without amount",IF(AND(AA21&gt;0,NOT(OR(C21="Blueprint Funded",C21="Pilot Funded",C21="Won"))),"WARN: Funded value stage mismatch","OK"))))))))))))))</f>
        <v/>
      </c>
    </row>
    <row r="22" ht="210" customHeight="1">
      <c r="A22" s="63" t="inlineStr">
        <is>
          <t>Hold</t>
        </is>
      </c>
      <c r="B22" s="63" t="inlineStr">
        <is>
          <t>Hold</t>
        </is>
      </c>
      <c r="C22" s="103" t="inlineStr">
        <is>
          <t>Hold</t>
        </is>
      </c>
      <c r="D22" s="63" t="inlineStr">
        <is>
          <t>Client Inbox</t>
        </is>
      </c>
      <c r="E22" s="199">
        <f>IF(G22&gt;=90,"A",IF(G22&gt;=80,"B",IF(G22&gt;=70,"C","D")))</f>
        <v/>
      </c>
      <c r="F22" s="63" t="inlineStr">
        <is>
          <t>Upwork:~022075920337694781992</t>
        </is>
      </c>
      <c r="G22" s="395" t="n">
        <v>60</v>
      </c>
      <c r="H22" s="63" t="inlineStr">
        <is>
          <t>Upwork</t>
        </is>
      </c>
      <c r="I22" s="63" t="inlineStr">
        <is>
          <t>AI Automation Expert</t>
        </is>
      </c>
      <c r="J22" s="63" t="inlineStr">
        <is>
          <t>$1,500.00</t>
        </is>
      </c>
      <c r="K22" s="63" t="inlineStr">
        <is>
          <t>50+</t>
        </is>
      </c>
      <c r="L22" s="63" t="inlineStr">
        <is>
          <t>3 weeks ago</t>
        </is>
      </c>
      <c r="M22" s="63" t="inlineStr">
        <is>
          <t>The client wants a complete e-commerce support agent, but the brief does not specify channels, knowledge, integrations, escalation, languages, or quality criteria.</t>
        </is>
      </c>
      <c r="N22" s="63" t="inlineStr">
        <is>
          <t>One support channel, one approved knowledge and store-context set, one case-history destination, and human handoff.</t>
        </is>
      </c>
      <c r="O22" s="63" t="inlineStr">
        <is>
          <t>A complete e-commerce support agent is too broad to validate in one step. I would first replay one support channel against an approved store-context set, log every outcome, and route any unsupported or sensitive action to a person.
I packaged that exact pilot boundary here: https://dali.agents.ge/for/upwork/client-inbox?ref=uw-022075920337694781992
If that boundary matches your brief, reply here in Upwork with your primary customer channel, CRM or case history, and one representative thread. I will turn those inputs into the first replay set and pass/fail acceptance test before implementation.</t>
        </is>
      </c>
      <c r="P22" s="63" t="inlineStr">
        <is>
          <t>https://dali.agents.ge/for/upwork/client-inbox?ref=uw-022075920337694781992</t>
        </is>
      </c>
      <c r="Q22" s="63" t="inlineStr">
        <is>
          <t>https://www.upwork.com/jobs/span-class-highlight-span-span-class-highlight-Automation-span-Expert_~022075920337694781992/?referrer_url_path=/nx/search/jobs/</t>
        </is>
      </c>
      <c r="R22" s="63" t="inlineStr">
        <is>
          <t>Medium confidence; $1,500, verified payment, rating 5, and over $2k spend are positive, but the one-line brief and 50+ proposals make scope unknown.</t>
        </is>
      </c>
      <c r="S22" s="396" t="n"/>
      <c r="T22" s="103" t="inlineStr">
        <is>
          <t>Unknown</t>
        </is>
      </c>
      <c r="U22" s="396" t="n"/>
      <c r="V22" s="103" t="n"/>
      <c r="W22" s="103" t="n"/>
      <c r="X22" s="103" t="inlineStr">
        <is>
          <t>Not Evaluated</t>
        </is>
      </c>
      <c r="Y22" s="103" t="inlineStr">
        <is>
          <t>Hold</t>
        </is>
      </c>
      <c r="Z22" s="397" t="n"/>
      <c r="AA22" s="397" t="n"/>
      <c r="AB22" s="103" t="n"/>
      <c r="AC22" s="398" t="n"/>
      <c r="AD22" s="397" t="n"/>
      <c r="AE22" s="399">
        <f>IFERROR((AA22-AD22)/AA22,"")</f>
        <v/>
      </c>
      <c r="AF22" s="396" t="n"/>
      <c r="AG22" s="119" t="inlineStr">
        <is>
          <t>Hold</t>
        </is>
      </c>
      <c r="AH22" s="127" t="inlineStr">
        <is>
          <t>Not Checked</t>
        </is>
      </c>
      <c r="AI22" s="123" t="inlineStr">
        <is>
          <t>Hold row; not part of the current live-listing audit.</t>
        </is>
      </c>
      <c r="AJ22" s="123" t="str"/>
      <c r="AK22" s="139">
        <f>IF(AND(U22&lt;&gt;"",S22=""),"WARN: Reply date without sent date",IF(AND(OR(C22="Sent",C22="Replied",C22="Qualified",C22="Blueprint Proposed",C22="Pilot Proposed",C22="Blueprint Funded",C22="Pilot Funded",C22="Won"),S22=""),"WARN: Stage requires sent date",IF(AND(OR(C22="Replied",C22="Qualified",C22="Blueprint Proposed",C22="Pilot Proposed",C22="Blueprint Funded",C22="Pilot Funded",C22="Won"),U22=""),"WARN: Stage requires reply date",IF(AND(X22="Qualified",U22=""),"WARN: Qualified without reply date",IF(AND(C22="Qualified",X22&lt;&gt;"Qualified"),"WARN: Qualified stage mismatch",IF(AND(X22="Qualified",NOT(OR(C22="Qualified",C22="Blueprint Proposed",C22="Pilot Proposed",C22="Blueprint Funded",C22="Pilot Funded",C22="Won"))),"WARN: Qualified value stage mismatch",IF(AND(Z22&gt;0,NOT(OR(Y22="Blueprint",Y22="Direct Pilot"))),"WARN: Quote without sales path",IF(AND(OR(C22="Blueprint Proposed",C22="Blueprint Funded"),Y22&lt;&gt;"Blueprint"),"WARN: Blueprint stage path mismatch",IF(AND(OR(C22="Pilot Proposed",C22="Pilot Funded"),Y22&lt;&gt;"Direct Pilot"),"WARN: Pilot stage path mismatch",IF(AND(OR(C22="Blueprint Proposed",C22="Pilot Proposed",C22="Blueprint Funded",C22="Pilot Funded",C22="Won"),Z22&lt;=0),"WARN: Offer stage without quote",IF(AND(Z22&gt;0,NOT(OR(C22="Blueprint Proposed",C22="Pilot Proposed",C22="Blueprint Funded",C22="Pilot Funded",C22="Won"))),"WARN: Quote stage mismatch",IF(AND(AA22&gt;0,Z22&lt;=0),"WARN: Funded without quote",IF(AND(OR(C22="Blueprint Funded",C22="Pilot Funded",C22="Won"),AA22&lt;=0),"WARN: Funded stage without amount",IF(AND(AA22&gt;0,NOT(OR(C22="Blueprint Funded",C22="Pilot Funded",C22="Won"))),"WARN: Funded value stage mismatch","OK"))))))))))))))</f>
        <v/>
      </c>
    </row>
    <row r="23" ht="210" customHeight="1">
      <c r="A23" s="63" t="inlineStr">
        <is>
          <t>Wave 1</t>
        </is>
      </c>
      <c r="B23" s="63" t="inlineStr">
        <is>
          <t>Landing Link</t>
        </is>
      </c>
      <c r="C23" s="103" t="inlineStr">
        <is>
          <t>Not Sent</t>
        </is>
      </c>
      <c r="D23" s="63" t="inlineStr">
        <is>
          <t>Operations &amp; Documents</t>
        </is>
      </c>
      <c r="E23" s="199">
        <f>IF(G23&gt;=90,"A",IF(G23&gt;=80,"B",IF(G23&gt;=70,"C","D")))</f>
        <v/>
      </c>
      <c r="F23" s="63" t="inlineStr">
        <is>
          <t>Upwork:~022073883528374083136</t>
        </is>
      </c>
      <c r="G23" s="395" t="n">
        <v>90</v>
      </c>
      <c r="H23" s="63" t="inlineStr">
        <is>
          <t>Upwork</t>
        </is>
      </c>
      <c r="I23" s="63" t="inlineStr">
        <is>
          <t>AI Automation Engineer Build AI Transaction Coordinator for Brivity CRM Claude + Browser Automation</t>
        </is>
      </c>
      <c r="J23" s="63" t="inlineStr">
        <is>
          <t>Hourly: $25.00 - $75.00</t>
        </is>
      </c>
      <c r="K23" s="63" t="inlineStr">
        <is>
          <t>50+</t>
        </is>
      </c>
      <c r="L23" s="63" t="inlineStr">
        <is>
          <t>3 weeks ago</t>
        </is>
      </c>
      <c r="M23" s="63" t="inlineStr">
        <is>
          <t>Gmail and document inputs must be converted into Brivity deals, uploads, checklist updates, and notifications through UI automation.</t>
        </is>
      </c>
      <c r="N23" s="63" t="inlineStr">
        <is>
          <t>One email thread to one deal, document upload, checklist update, notification, and a fallback when the UI changes.</t>
        </is>
      </c>
      <c r="O23" s="63" t="inlineStr">
        <is>
          <t>Transaction coordination from Gmail into Brivity with documents, checklists, and UI-change fallbacks is a classic ops pipeline.
We already have a production-ready product core for this at Dali Agency (operations-docs core): input → extract/OCR → validate against schema → write to destination → exception queue with audit trail.
We are not starting from a blank repo. The paid work is customization under your stack: your input type, required fields, destination system, and exception owner.
First customization pilot I would lock: one deal path: Gmail → Brivity record, document upload, checklist update, exception when UI changes.
Packaged boundary + how we run that pilot: https://dali.agents.ge/for/upwork/operations-docs?ref=uw-022073883528374083136
If that matches, reply here in Upwork with one representative input, required output fields, target system, and who owns exceptions. I will confirm fit and send a fixed pilot milestone (or a short paid blueprint if scope is still loose) before any implementation starts.</t>
        </is>
      </c>
      <c r="P23" s="63" t="inlineStr">
        <is>
          <t>https://dali.agents.ge/for/upwork/operations-docs?ref=uw-022073883528374083136</t>
        </is>
      </c>
      <c r="Q23" s="63" t="inlineStr">
        <is>
          <t>https://www.upwork.com/jobs/span-class-highlight-span-span-class-highlight-Automation-span-Engineer-Build-span-class-highlight-span-Transaction-Coordinator-for-Brivity-CRM-Claude-Browser-span-class-highlight-Automation-span_~022073883528374083136/?referrer_url_path=/nx/search/jobs/</t>
        </is>
      </c>
      <c r="R23" s="63" t="inlineStr">
        <is>
          <t>High confidence; browser automation is fragile and the listing has 50+ proposals.</t>
        </is>
      </c>
      <c r="S23" s="396" t="n"/>
      <c r="T23" s="103" t="inlineStr">
        <is>
          <t>Unknown</t>
        </is>
      </c>
      <c r="U23" s="396" t="n"/>
      <c r="V23" s="103" t="n"/>
      <c r="W23" s="103" t="n"/>
      <c r="X23" s="103" t="inlineStr">
        <is>
          <t>Not Evaluated</t>
        </is>
      </c>
      <c r="Y23" s="103" t="inlineStr">
        <is>
          <t>Unassigned</t>
        </is>
      </c>
      <c r="Z23" s="397" t="n"/>
      <c r="AA23" s="397" t="n"/>
      <c r="AB23" s="103" t="n"/>
      <c r="AC23" s="398" t="n"/>
      <c r="AD23" s="397" t="n"/>
      <c r="AE23" s="399">
        <f>IFERROR((AA23-AD23)/AA23,"")</f>
        <v/>
      </c>
      <c r="AF23" s="396" t="n"/>
      <c r="AG23" s="119" t="inlineStr">
        <is>
          <t>Batch C</t>
        </is>
      </c>
      <c r="AH23" s="127" t="inlineStr">
        <is>
          <t>Manual Check</t>
        </is>
      </c>
      <c r="AI23" s="123" t="inlineStr">
        <is>
          <t>Anonymous direct page was blocked by a Cloudflare challenge. Verify open status and scope inside Upwork.</t>
        </is>
      </c>
      <c r="AJ23" s="123" t="inlineStr">
        <is>
          <t>2026-07-30 03:14 +04</t>
        </is>
      </c>
      <c r="AK23" s="139">
        <f>IF(AND(U23&lt;&gt;"",S23=""),"WARN: Reply date without sent date",IF(AND(OR(C23="Sent",C23="Replied",C23="Qualified",C23="Blueprint Proposed",C23="Pilot Proposed",C23="Blueprint Funded",C23="Pilot Funded",C23="Won"),S23=""),"WARN: Stage requires sent date",IF(AND(OR(C23="Replied",C23="Qualified",C23="Blueprint Proposed",C23="Pilot Proposed",C23="Blueprint Funded",C23="Pilot Funded",C23="Won"),U23=""),"WARN: Stage requires reply date",IF(AND(X23="Qualified",U23=""),"WARN: Qualified without reply date",IF(AND(C23="Qualified",X23&lt;&gt;"Qualified"),"WARN: Qualified stage mismatch",IF(AND(X23="Qualified",NOT(OR(C23="Qualified",C23="Blueprint Proposed",C23="Pilot Proposed",C23="Blueprint Funded",C23="Pilot Funded",C23="Won"))),"WARN: Qualified value stage mismatch",IF(AND(Z23&gt;0,NOT(OR(Y23="Blueprint",Y23="Direct Pilot"))),"WARN: Quote without sales path",IF(AND(OR(C23="Blueprint Proposed",C23="Blueprint Funded"),Y23&lt;&gt;"Blueprint"),"WARN: Blueprint stage path mismatch",IF(AND(OR(C23="Pilot Proposed",C23="Pilot Funded"),Y23&lt;&gt;"Direct Pilot"),"WARN: Pilot stage path mismatch",IF(AND(OR(C23="Blueprint Proposed",C23="Pilot Proposed",C23="Blueprint Funded",C23="Pilot Funded",C23="Won"),Z23&lt;=0),"WARN: Offer stage without quote",IF(AND(Z23&gt;0,NOT(OR(C23="Blueprint Proposed",C23="Pilot Proposed",C23="Blueprint Funded",C23="Pilot Funded",C23="Won"))),"WARN: Quote stage mismatch",IF(AND(AA23&gt;0,Z23&lt;=0),"WARN: Funded without quote",IF(AND(OR(C23="Blueprint Funded",C23="Pilot Funded",C23="Won"),AA23&lt;=0),"WARN: Funded stage without amount",IF(AND(AA23&gt;0,NOT(OR(C23="Blueprint Funded",C23="Pilot Funded",C23="Won"))),"WARN: Funded value stage mismatch","OK"))))))))))))))</f>
        <v/>
      </c>
    </row>
    <row r="24" ht="210" customHeight="1">
      <c r="A24" s="63" t="inlineStr">
        <is>
          <t>Wave 1</t>
        </is>
      </c>
      <c r="B24" s="63" t="inlineStr">
        <is>
          <t>Landing Link</t>
        </is>
      </c>
      <c r="C24" s="103" t="inlineStr">
        <is>
          <t>Not Sent</t>
        </is>
      </c>
      <c r="D24" s="63" t="inlineStr">
        <is>
          <t>Operations &amp; Documents</t>
        </is>
      </c>
      <c r="E24" s="199">
        <f>IF(G24&gt;=90,"A",IF(G24&gt;=80,"B",IF(G24&gt;=70,"C","D")))</f>
        <v/>
      </c>
      <c r="F24" s="63" t="inlineStr">
        <is>
          <t>Upwork:~022079631969043129867</t>
        </is>
      </c>
      <c r="G24" s="395" t="n">
        <v>90</v>
      </c>
      <c r="H24" s="63" t="inlineStr">
        <is>
          <t>Upwork</t>
        </is>
      </c>
      <c r="I24" s="63" t="inlineStr">
        <is>
          <t>AI Workflow Automation Developer for Order Processing and Operations</t>
        </is>
      </c>
      <c r="J24" s="63" t="inlineStr">
        <is>
          <t>$300.00</t>
        </is>
      </c>
      <c r="K24" s="63" t="inlineStr">
        <is>
          <t>50+</t>
        </is>
      </c>
      <c r="L24" s="63" t="inlineStr">
        <is>
          <t>last week</t>
        </is>
      </c>
      <c r="M24" s="63" t="inlineStr">
        <is>
          <t>Fragmented wholesale order intake needs reliable checks, duplicate prevention, exception handling, and a clean system update.</t>
        </is>
      </c>
      <c r="N24" s="63" t="inlineStr">
        <is>
          <t>One intake source, one schema, one destination, one approval rule, and one exception queue.</t>
        </is>
      </c>
      <c r="O24" s="63" t="inlineStr">
        <is>
          <t>Order processing from email/PDF/sheet into ERP/CRM is high-value only if every write is validated and deduped.
We already have a production-ready product core for this at Dali Agency (operations-docs core): input → extract/OCR → validate against schema → write to destination → exception queue with audit trail.
We are not starting from a blank repo. The paid work is customization under your stack: your input type, required fields, destination system, and exception owner.
First customization pilot I would lock: one auditable path from email/PDF/sheet → validated ERP/CRM draft, human exception queue, dedupe rules.
Packaged boundary + how we run that pilot: https://dali.agents.ge/for/upwork/operations-docs?ref=uw-022079631969043129867
If that matches, reply here in Upwork with one representative input, required output fields, target system, and who owns exceptions. I will confirm fit and send a fixed pilot milestone (or a short paid blueprint if scope is still loose) before any implementation starts.</t>
        </is>
      </c>
      <c r="P24" s="63" t="inlineStr">
        <is>
          <t>https://dali.agents.ge/for/upwork/operations-docs?ref=uw-022079631969043129867</t>
        </is>
      </c>
      <c r="Q24" s="63" t="inlineStr">
        <is>
          <t>https://www.upwork.com/jobs/span-class-highlight-span-Workflow-span-class-highlight-Automation-span-Developer-for-Order-Processing-and-Operations_~022079631969043129867/?referrer_url_path=/nx/search/jobs/</t>
        </is>
      </c>
      <c r="R24" s="63" t="inlineStr">
        <is>
          <t>High confidence; the $300 budget is too small for the full order-processing scope.</t>
        </is>
      </c>
      <c r="S24" s="396" t="n"/>
      <c r="T24" s="103" t="inlineStr">
        <is>
          <t>Unknown</t>
        </is>
      </c>
      <c r="U24" s="396" t="n"/>
      <c r="V24" s="103" t="n"/>
      <c r="W24" s="103" t="n"/>
      <c r="X24" s="103" t="inlineStr">
        <is>
          <t>Not Evaluated</t>
        </is>
      </c>
      <c r="Y24" s="103" t="inlineStr">
        <is>
          <t>Unassigned</t>
        </is>
      </c>
      <c r="Z24" s="397" t="n"/>
      <c r="AA24" s="397" t="n"/>
      <c r="AB24" s="103" t="n"/>
      <c r="AC24" s="398" t="n"/>
      <c r="AD24" s="397" t="n"/>
      <c r="AE24" s="399">
        <f>IFERROR((AA24-AD24)/AA24,"")</f>
        <v/>
      </c>
      <c r="AF24" s="396" t="n"/>
      <c r="AG24" s="119" t="inlineStr">
        <is>
          <t>Batch C</t>
        </is>
      </c>
      <c r="AH24" s="127" t="inlineStr">
        <is>
          <t>Manual Check</t>
        </is>
      </c>
      <c r="AI24" s="123" t="inlineStr">
        <is>
          <t>Anonymous direct page was blocked by a Cloudflare challenge. Verify open status and scope inside Upwork.</t>
        </is>
      </c>
      <c r="AJ24" s="123" t="inlineStr">
        <is>
          <t>2026-07-30 03:14 +04</t>
        </is>
      </c>
      <c r="AK24" s="139">
        <f>IF(AND(U24&lt;&gt;"",S24=""),"WARN: Reply date without sent date",IF(AND(OR(C24="Sent",C24="Replied",C24="Qualified",C24="Blueprint Proposed",C24="Pilot Proposed",C24="Blueprint Funded",C24="Pilot Funded",C24="Won"),S24=""),"WARN: Stage requires sent date",IF(AND(OR(C24="Replied",C24="Qualified",C24="Blueprint Proposed",C24="Pilot Proposed",C24="Blueprint Funded",C24="Pilot Funded",C24="Won"),U24=""),"WARN: Stage requires reply date",IF(AND(X24="Qualified",U24=""),"WARN: Qualified without reply date",IF(AND(C24="Qualified",X24&lt;&gt;"Qualified"),"WARN: Qualified stage mismatch",IF(AND(X24="Qualified",NOT(OR(C24="Qualified",C24="Blueprint Proposed",C24="Pilot Proposed",C24="Blueprint Funded",C24="Pilot Funded",C24="Won"))),"WARN: Qualified value stage mismatch",IF(AND(Z24&gt;0,NOT(OR(Y24="Blueprint",Y24="Direct Pilot"))),"WARN: Quote without sales path",IF(AND(OR(C24="Blueprint Proposed",C24="Blueprint Funded"),Y24&lt;&gt;"Blueprint"),"WARN: Blueprint stage path mismatch",IF(AND(OR(C24="Pilot Proposed",C24="Pilot Funded"),Y24&lt;&gt;"Direct Pilot"),"WARN: Pilot stage path mismatch",IF(AND(OR(C24="Blueprint Proposed",C24="Pilot Proposed",C24="Blueprint Funded",C24="Pilot Funded",C24="Won"),Z24&lt;=0),"WARN: Offer stage without quote",IF(AND(Z24&gt;0,NOT(OR(C24="Blueprint Proposed",C24="Pilot Proposed",C24="Blueprint Funded",C24="Pilot Funded",C24="Won"))),"WARN: Quote stage mismatch",IF(AND(AA24&gt;0,Z24&lt;=0),"WARN: Funded without quote",IF(AND(OR(C24="Blueprint Funded",C24="Pilot Funded",C24="Won"),AA24&lt;=0),"WARN: Funded stage without amount",IF(AND(AA24&gt;0,NOT(OR(C24="Blueprint Funded",C24="Pilot Funded",C24="Won"))),"WARN: Funded value stage mismatch","OK"))))))))))))))</f>
        <v/>
      </c>
    </row>
    <row r="25" ht="210" customHeight="1">
      <c r="A25" s="63" t="inlineStr">
        <is>
          <t>Wave 1</t>
        </is>
      </c>
      <c r="B25" s="63" t="inlineStr">
        <is>
          <t>Landing Link</t>
        </is>
      </c>
      <c r="C25" s="103" t="inlineStr">
        <is>
          <t>Not Sent</t>
        </is>
      </c>
      <c r="D25" s="63" t="inlineStr">
        <is>
          <t>Operations &amp; Documents</t>
        </is>
      </c>
      <c r="E25" s="199">
        <f>IF(G25&gt;=90,"A",IF(G25&gt;=80,"B",IF(G25&gt;=70,"C","D")))</f>
        <v/>
      </c>
      <c r="F25" s="63" t="inlineStr">
        <is>
          <t>Upwork:~022081598123554232311</t>
        </is>
      </c>
      <c r="G25" s="395" t="n">
        <v>85</v>
      </c>
      <c r="H25" s="63" t="inlineStr">
        <is>
          <t>Upwork</t>
        </is>
      </c>
      <c r="I25" s="63" t="inlineStr">
        <is>
          <t>AI-Powered Property Management &amp; Tenant Operations Automation</t>
        </is>
      </c>
      <c r="J25" s="63" t="inlineStr">
        <is>
          <t>Hourly: $15.00 - $25.00</t>
        </is>
      </c>
      <c r="K25" s="63" t="inlineStr">
        <is>
          <t>20 to 50</t>
        </is>
      </c>
      <c r="L25" s="63" t="inlineStr">
        <is>
          <t>yesterday</t>
        </is>
      </c>
      <c r="M25" s="63" t="inlineStr">
        <is>
          <t>Tenant WhatsApp messages and screenshots must connect to Buildium, QuickBooks, repairs, exceptions, and an audit trail.</t>
        </is>
      </c>
      <c r="N25" s="63" t="inlineStr">
        <is>
          <t>One payment or maintenance workflow with OCR, one system check, one sync, and one exception queue.</t>
        </is>
      </c>
      <c r="O25" s="63" t="inlineStr">
        <is>
          <t>Tenant WhatsApp messages and screenshots into Buildium/QuickBooks with repairs, exceptions, and audit is the right ops pattern.
We already have a production-ready product core for this at Dali Agency (operations-docs core): input → extract/OCR → validate against schema → write to destination → exception queue with audit trail.
We are not starting from a blank repo. The paid work is customization under your stack: your input type, required fields, destination system, and exception owner.
First customization pilot I would lock: one tenant workflow: WhatsApp/screenshot → OCR → Buildium check → QuickBooks sync → exception queue.
Packaged boundary + how we run that pilot: https://dali.agents.ge/for/upwork/operations-docs?ref=uw-022081598123554232311
If that matches, reply here in Upwork with one representative input, required output fields, target system, and who owns exceptions. I will confirm fit and send a fixed pilot milestone (or a short paid blueprint if scope is still loose) before any implementation starts.</t>
        </is>
      </c>
      <c r="P25" s="63" t="inlineStr">
        <is>
          <t>https://dali.agents.ge/for/upwork/operations-docs?ref=uw-022081598123554232311</t>
        </is>
      </c>
      <c r="Q25" s="63" t="inlineStr">
        <is>
          <t>https://www.upwork.com/jobs/span-class-highlight-span-Powered-Property-Management-amp-Tenant-Operations-span-class-highlight-Automation-span_~022081598123554232311/?referrer_url_path=/nx/search/jobs/</t>
        </is>
      </c>
      <c r="R25" s="63" t="inlineStr">
        <is>
          <t>High confidence; multi-system access and OCR quality are material risks.</t>
        </is>
      </c>
      <c r="S25" s="396" t="n"/>
      <c r="T25" s="103" t="inlineStr">
        <is>
          <t>Unknown</t>
        </is>
      </c>
      <c r="U25" s="396" t="n"/>
      <c r="V25" s="103" t="n"/>
      <c r="W25" s="103" t="n"/>
      <c r="X25" s="103" t="inlineStr">
        <is>
          <t>Not Evaluated</t>
        </is>
      </c>
      <c r="Y25" s="103" t="inlineStr">
        <is>
          <t>Unassigned</t>
        </is>
      </c>
      <c r="Z25" s="397" t="n"/>
      <c r="AA25" s="397" t="n"/>
      <c r="AB25" s="103" t="n"/>
      <c r="AC25" s="398" t="n"/>
      <c r="AD25" s="397" t="n"/>
      <c r="AE25" s="399">
        <f>IFERROR((AA25-AD25)/AA25,"")</f>
        <v/>
      </c>
      <c r="AF25" s="396" t="n"/>
      <c r="AG25" s="119" t="inlineStr">
        <is>
          <t>Batch B</t>
        </is>
      </c>
      <c r="AH25" s="127" t="inlineStr">
        <is>
          <t>Manual Check</t>
        </is>
      </c>
      <c r="AI25" s="123" t="inlineStr">
        <is>
          <t>Anonymous direct page was blocked by a Cloudflare challenge. Verify open status and scope inside Upwork.</t>
        </is>
      </c>
      <c r="AJ25" s="123" t="inlineStr">
        <is>
          <t>2026-07-30 03:13 +04</t>
        </is>
      </c>
      <c r="AK25" s="139">
        <f>IF(AND(U25&lt;&gt;"",S25=""),"WARN: Reply date without sent date",IF(AND(OR(C25="Sent",C25="Replied",C25="Qualified",C25="Blueprint Proposed",C25="Pilot Proposed",C25="Blueprint Funded",C25="Pilot Funded",C25="Won"),S25=""),"WARN: Stage requires sent date",IF(AND(OR(C25="Replied",C25="Qualified",C25="Blueprint Proposed",C25="Pilot Proposed",C25="Blueprint Funded",C25="Pilot Funded",C25="Won"),U25=""),"WARN: Stage requires reply date",IF(AND(X25="Qualified",U25=""),"WARN: Qualified without reply date",IF(AND(C25="Qualified",X25&lt;&gt;"Qualified"),"WARN: Qualified stage mismatch",IF(AND(X25="Qualified",NOT(OR(C25="Qualified",C25="Blueprint Proposed",C25="Pilot Proposed",C25="Blueprint Funded",C25="Pilot Funded",C25="Won"))),"WARN: Qualified value stage mismatch",IF(AND(Z25&gt;0,NOT(OR(Y25="Blueprint",Y25="Direct Pilot"))),"WARN: Quote without sales path",IF(AND(OR(C25="Blueprint Proposed",C25="Blueprint Funded"),Y25&lt;&gt;"Blueprint"),"WARN: Blueprint stage path mismatch",IF(AND(OR(C25="Pilot Proposed",C25="Pilot Funded"),Y25&lt;&gt;"Direct Pilot"),"WARN: Pilot stage path mismatch",IF(AND(OR(C25="Blueprint Proposed",C25="Pilot Proposed",C25="Blueprint Funded",C25="Pilot Funded",C25="Won"),Z25&lt;=0),"WARN: Offer stage without quote",IF(AND(Z25&gt;0,NOT(OR(C25="Blueprint Proposed",C25="Pilot Proposed",C25="Blueprint Funded",C25="Pilot Funded",C25="Won"))),"WARN: Quote stage mismatch",IF(AND(AA25&gt;0,Z25&lt;=0),"WARN: Funded without quote",IF(AND(OR(C25="Blueprint Funded",C25="Pilot Funded",C25="Won"),AA25&lt;=0),"WARN: Funded stage without amount",IF(AND(AA25&gt;0,NOT(OR(C25="Blueprint Funded",C25="Pilot Funded",C25="Won"))),"WARN: Funded value stage mismatch","OK"))))))))))))))</f>
        <v/>
      </c>
    </row>
    <row r="26" ht="210" customHeight="1">
      <c r="A26" s="63" t="inlineStr">
        <is>
          <t>Wave 1</t>
        </is>
      </c>
      <c r="B26" s="63" t="inlineStr">
        <is>
          <t>Landing Link</t>
        </is>
      </c>
      <c r="C26" s="103" t="inlineStr">
        <is>
          <t>Not Sent</t>
        </is>
      </c>
      <c r="D26" s="63" t="inlineStr">
        <is>
          <t>Operations &amp; Documents</t>
        </is>
      </c>
      <c r="E26" s="199">
        <f>IF(G26&gt;=90,"A",IF(G26&gt;=80,"B",IF(G26&gt;=70,"C","D")))</f>
        <v/>
      </c>
      <c r="F26" s="63" t="inlineStr">
        <is>
          <t>Upwork:~022081965076177154541</t>
        </is>
      </c>
      <c r="G26" s="395" t="n">
        <v>85</v>
      </c>
      <c r="H26" s="63" t="inlineStr">
        <is>
          <t>Upwork</t>
        </is>
      </c>
      <c r="I26" s="63" t="inlineStr">
        <is>
          <t>Build AI-Powered Zapier Workflow for Automatic Mail Processing (Google Drive + Claude + Discord)</t>
        </is>
      </c>
      <c r="J26" s="63" t="inlineStr">
        <is>
          <t>Hourly</t>
        </is>
      </c>
      <c r="K26" s="63" t="inlineStr">
        <is>
          <t>50+</t>
        </is>
      </c>
      <c r="L26" s="63" t="inlineStr">
        <is>
          <t>12 hours ago</t>
        </is>
      </c>
      <c r="M26" s="63" t="inlineStr">
        <is>
          <t>Scanned mail must be OCRed, classified, renamed, filed in Drive, and announced in Discord without manual sorting.</t>
        </is>
      </c>
      <c r="N26" s="63" t="inlineStr">
        <is>
          <t>One mailbox, one extraction and naming schema, one Drive destination, and one notification path.</t>
        </is>
      </c>
      <c r="O26" s="63" t="inlineStr">
        <is>
          <t>You need scanned mail OCRed, classified, renamed, filed in Drive, and announced in Discord without manual sorting.
We already have a production-ready product core for this at Dali Agency (operations-docs core): input → extract/OCR → validate against schema → write to destination → exception queue with audit trail.
We are not starting from a blank repo. The paid work is customization under your stack: your input type, required fields, destination system, and exception owner.
First customization pilot I would lock: one mailbox → OCR/classify/rename → one Drive folder → one Discord notify path.
Packaged boundary + how we run that pilot: https://dali.agents.ge/for/upwork/operations-docs?ref=uw-022081965076177154541
If that matches, reply here in Upwork with one representative input, required output fields, target system, and who owns exceptions. I will confirm fit and send a fixed pilot milestone (or a short paid blueprint if scope is still loose) before any implementation starts.</t>
        </is>
      </c>
      <c r="P26" s="63" t="inlineStr">
        <is>
          <t>https://dali.agents.ge/for/upwork/operations-docs?ref=uw-022081965076177154541</t>
        </is>
      </c>
      <c r="Q26" s="63" t="inlineStr">
        <is>
          <t>https://www.upwork.com/jobs/Build-Powered-Zapier-Workflow-for-Automatic-Mail-Processing-Google-Drive-Claude-Discord_~022081965076177154541/?referrer_url_path=find_work_home</t>
        </is>
      </c>
      <c r="R26" s="63" t="inlineStr">
        <is>
          <t>High confidence; document-type expansion can quickly enlarge the scope.</t>
        </is>
      </c>
      <c r="S26" s="396" t="n"/>
      <c r="T26" s="103" t="inlineStr">
        <is>
          <t>Unknown</t>
        </is>
      </c>
      <c r="U26" s="396" t="n"/>
      <c r="V26" s="103" t="n"/>
      <c r="W26" s="103" t="n"/>
      <c r="X26" s="103" t="inlineStr">
        <is>
          <t>Not Evaluated</t>
        </is>
      </c>
      <c r="Y26" s="103" t="inlineStr">
        <is>
          <t>Unassigned</t>
        </is>
      </c>
      <c r="Z26" s="397" t="n"/>
      <c r="AA26" s="397" t="n"/>
      <c r="AB26" s="103" t="n"/>
      <c r="AC26" s="398" t="n"/>
      <c r="AD26" s="397" t="n"/>
      <c r="AE26" s="399">
        <f>IFERROR((AA26-AD26)/AA26,"")</f>
        <v/>
      </c>
      <c r="AF26" s="396" t="n"/>
      <c r="AG26" s="119" t="inlineStr">
        <is>
          <t>Batch A</t>
        </is>
      </c>
      <c r="AH26" s="127" t="inlineStr">
        <is>
          <t>Open</t>
        </is>
      </c>
      <c r="AI26" s="123" t="inlineStr">
        <is>
          <t>Full card accessible and scope matched. 50+ proposals; client viewed two days ago.</t>
        </is>
      </c>
      <c r="AJ26" s="123" t="inlineStr">
        <is>
          <t>2026-07-30 03:16 +04</t>
        </is>
      </c>
      <c r="AK26" s="139">
        <f>IF(AND(U26&lt;&gt;"",S26=""),"WARN: Reply date without sent date",IF(AND(OR(C26="Sent",C26="Replied",C26="Qualified",C26="Blueprint Proposed",C26="Pilot Proposed",C26="Blueprint Funded",C26="Pilot Funded",C26="Won"),S26=""),"WARN: Stage requires sent date",IF(AND(OR(C26="Replied",C26="Qualified",C26="Blueprint Proposed",C26="Pilot Proposed",C26="Blueprint Funded",C26="Pilot Funded",C26="Won"),U26=""),"WARN: Stage requires reply date",IF(AND(X26="Qualified",U26=""),"WARN: Qualified without reply date",IF(AND(C26="Qualified",X26&lt;&gt;"Qualified"),"WARN: Qualified stage mismatch",IF(AND(X26="Qualified",NOT(OR(C26="Qualified",C26="Blueprint Proposed",C26="Pilot Proposed",C26="Blueprint Funded",C26="Pilot Funded",C26="Won"))),"WARN: Qualified value stage mismatch",IF(AND(Z26&gt;0,NOT(OR(Y26="Blueprint",Y26="Direct Pilot"))),"WARN: Quote without sales path",IF(AND(OR(C26="Blueprint Proposed",C26="Blueprint Funded"),Y26&lt;&gt;"Blueprint"),"WARN: Blueprint stage path mismatch",IF(AND(OR(C26="Pilot Proposed",C26="Pilot Funded"),Y26&lt;&gt;"Direct Pilot"),"WARN: Pilot stage path mismatch",IF(AND(OR(C26="Blueprint Proposed",C26="Pilot Proposed",C26="Blueprint Funded",C26="Pilot Funded",C26="Won"),Z26&lt;=0),"WARN: Offer stage without quote",IF(AND(Z26&gt;0,NOT(OR(C26="Blueprint Proposed",C26="Pilot Proposed",C26="Blueprint Funded",C26="Pilot Funded",C26="Won"))),"WARN: Quote stage mismatch",IF(AND(AA26&gt;0,Z26&lt;=0),"WARN: Funded without quote",IF(AND(OR(C26="Blueprint Funded",C26="Pilot Funded",C26="Won"),AA26&lt;=0),"WARN: Funded stage without amount",IF(AND(AA26&gt;0,NOT(OR(C26="Blueprint Funded",C26="Pilot Funded",C26="Won"))),"WARN: Funded value stage mismatch","OK"))))))))))))))</f>
        <v/>
      </c>
    </row>
    <row r="27" ht="210" customHeight="1">
      <c r="A27" s="63" t="inlineStr">
        <is>
          <t>Wave 1</t>
        </is>
      </c>
      <c r="B27" s="63" t="inlineStr">
        <is>
          <t>Landing Link</t>
        </is>
      </c>
      <c r="C27" s="103" t="inlineStr">
        <is>
          <t>Not Sent</t>
        </is>
      </c>
      <c r="D27" s="63" t="inlineStr">
        <is>
          <t>Operations &amp; Documents</t>
        </is>
      </c>
      <c r="E27" s="199">
        <f>IF(G27&gt;=90,"A",IF(G27&gt;=80,"B",IF(G27&gt;=70,"C","D")))</f>
        <v/>
      </c>
      <c r="F27" s="63" t="inlineStr">
        <is>
          <t>Upwork:~022082121535485723389</t>
        </is>
      </c>
      <c r="G27" s="395" t="n">
        <v>85</v>
      </c>
      <c r="H27" s="63" t="inlineStr">
        <is>
          <t>Upwork</t>
        </is>
      </c>
      <c r="I27" s="63" t="inlineStr">
        <is>
          <t>AI Agent Developer for Commodity Data</t>
        </is>
      </c>
      <c r="J27" s="63" t="inlineStr">
        <is>
          <t>Hourly: $25-$45</t>
        </is>
      </c>
      <c r="K27" s="63" t="inlineStr">
        <is>
          <t>20 to 50</t>
        </is>
      </c>
      <c r="L27" s="63" t="inlineStr">
        <is>
          <t>2 hours ago</t>
        </is>
      </c>
      <c r="M27" s="63" t="inlineStr">
        <is>
          <t>The first of three agents must research commodity data only from approved sources and export structured results to Excel and PDF before later validation and reporting stages.</t>
        </is>
      </c>
      <c r="N27" s="63" t="inlineStr">
        <is>
          <t>One approved source set, one extraction schema, one structured Excel and PDF output, one validation rule set, and an exception record for unsupported data.</t>
        </is>
      </c>
      <c r="O27" s="63" t="inlineStr">
        <is>
          <t>Your first agent should research commodity data only from approved sources and export structured Excel/PDF before later validation stages.
We already have a production-ready product core for this at Dali Agency (operations-docs core): input → extract/OCR → validate against schema → write to destination → exception queue with audit trail.
We are not starting from a blank repo. The paid work is customization under your stack: your input type, required fields, destination system, and exception owner.
First customization pilot I would lock: one approved source set, one extraction schema, one Excel+PDF package, visible exceptions for unsupported data.
Packaged boundary + how we run that pilot: https://dali.agents.ge/for/upwork/operations-docs?ref=uw-022082121535485723389
If that matches, reply here in Upwork with one representative input, required output fields, target system, and who owns exceptions. I will confirm fit and send a fixed pilot milestone (or a short paid blueprint if scope is still loose) before any implementation starts.</t>
        </is>
      </c>
      <c r="P27" s="63" t="inlineStr">
        <is>
          <t>https://dali.agents.ge/for/upwork/operations-docs?ref=uw-022082121535485723389</t>
        </is>
      </c>
      <c r="Q27" s="63" t="inlineStr">
        <is>
          <t>https://www.upwork.com/jobs/Agent-Developer-for-Commodity-Data_~022082121535485723389/?referrer_url_path=find_work_home</t>
        </is>
      </c>
      <c r="R27" s="63" t="inlineStr">
        <is>
          <t>High confidence; 20-50 proposals and an unverified client, with source rules, export quality, and proof of n8n or RAG work still to clarify.</t>
        </is>
      </c>
      <c r="S27" s="396" t="n"/>
      <c r="T27" s="103" t="inlineStr">
        <is>
          <t>Unknown</t>
        </is>
      </c>
      <c r="U27" s="396" t="n"/>
      <c r="V27" s="103" t="n"/>
      <c r="W27" s="103" t="n"/>
      <c r="X27" s="103" t="inlineStr">
        <is>
          <t>Not Evaluated</t>
        </is>
      </c>
      <c r="Y27" s="103" t="inlineStr">
        <is>
          <t>Unassigned</t>
        </is>
      </c>
      <c r="Z27" s="397" t="n"/>
      <c r="AA27" s="397" t="n"/>
      <c r="AB27" s="103" t="n"/>
      <c r="AC27" s="398" t="n"/>
      <c r="AD27" s="397" t="n"/>
      <c r="AE27" s="399">
        <f>IFERROR((AA27-AD27)/AA27,"")</f>
        <v/>
      </c>
      <c r="AF27" s="396" t="n"/>
      <c r="AG27" s="119" t="inlineStr">
        <is>
          <t>Batch A</t>
        </is>
      </c>
      <c r="AH27" s="127" t="inlineStr">
        <is>
          <t>Open</t>
        </is>
      </c>
      <c r="AI27" s="123" t="inlineStr">
        <is>
          <t>Full card accessible and scope matched. Competition increased to 50+ proposals with three interviews.</t>
        </is>
      </c>
      <c r="AJ27" s="123" t="inlineStr">
        <is>
          <t>2026-07-30 03:16 +04</t>
        </is>
      </c>
      <c r="AK27" s="139">
        <f>IF(AND(U27&lt;&gt;"",S27=""),"WARN: Reply date without sent date",IF(AND(OR(C27="Sent",C27="Replied",C27="Qualified",C27="Blueprint Proposed",C27="Pilot Proposed",C27="Blueprint Funded",C27="Pilot Funded",C27="Won"),S27=""),"WARN: Stage requires sent date",IF(AND(OR(C27="Replied",C27="Qualified",C27="Blueprint Proposed",C27="Pilot Proposed",C27="Blueprint Funded",C27="Pilot Funded",C27="Won"),U27=""),"WARN: Stage requires reply date",IF(AND(X27="Qualified",U27=""),"WARN: Qualified without reply date",IF(AND(C27="Qualified",X27&lt;&gt;"Qualified"),"WARN: Qualified stage mismatch",IF(AND(X27="Qualified",NOT(OR(C27="Qualified",C27="Blueprint Proposed",C27="Pilot Proposed",C27="Blueprint Funded",C27="Pilot Funded",C27="Won"))),"WARN: Qualified value stage mismatch",IF(AND(Z27&gt;0,NOT(OR(Y27="Blueprint",Y27="Direct Pilot"))),"WARN: Quote without sales path",IF(AND(OR(C27="Blueprint Proposed",C27="Blueprint Funded"),Y27&lt;&gt;"Blueprint"),"WARN: Blueprint stage path mismatch",IF(AND(OR(C27="Pilot Proposed",C27="Pilot Funded"),Y27&lt;&gt;"Direct Pilot"),"WARN: Pilot stage path mismatch",IF(AND(OR(C27="Blueprint Proposed",C27="Pilot Proposed",C27="Blueprint Funded",C27="Pilot Funded",C27="Won"),Z27&lt;=0),"WARN: Offer stage without quote",IF(AND(Z27&gt;0,NOT(OR(C27="Blueprint Proposed",C27="Pilot Proposed",C27="Blueprint Funded",C27="Pilot Funded",C27="Won"))),"WARN: Quote stage mismatch",IF(AND(AA27&gt;0,Z27&lt;=0),"WARN: Funded without quote",IF(AND(OR(C27="Blueprint Funded",C27="Pilot Funded",C27="Won"),AA27&lt;=0),"WARN: Funded stage without amount",IF(AND(AA27&gt;0,NOT(OR(C27="Blueprint Funded",C27="Pilot Funded",C27="Won"))),"WARN: Funded value stage mismatch","OK"))))))))))))))</f>
        <v/>
      </c>
    </row>
    <row r="28" ht="210" customHeight="1">
      <c r="A28" s="63" t="inlineStr">
        <is>
          <t>Wave 1</t>
        </is>
      </c>
      <c r="B28" s="63" t="inlineStr">
        <is>
          <t>No-Link Diagnostic</t>
        </is>
      </c>
      <c r="C28" s="103" t="inlineStr">
        <is>
          <t>Not Sent</t>
        </is>
      </c>
      <c r="D28" s="63" t="inlineStr">
        <is>
          <t>Operations &amp; Documents</t>
        </is>
      </c>
      <c r="E28" s="199">
        <f>IF(G28&gt;=90,"A",IF(G28&gt;=80,"B",IF(G28&gt;=70,"C","D")))</f>
        <v/>
      </c>
      <c r="F28" s="63" t="inlineStr">
        <is>
          <t>FL.ru:5514469</t>
        </is>
      </c>
      <c r="G28" s="395" t="n">
        <v>88</v>
      </c>
      <c r="H28" s="63" t="inlineStr">
        <is>
          <t>FL.ru</t>
        </is>
      </c>
      <c r="I28" s="63" t="inlineStr">
        <is>
          <t>Помощь в настройке Claude</t>
        </is>
      </c>
      <c r="J28" s="63" t="inlineStr">
        <is>
          <t>по договоренности</t>
        </is>
      </c>
      <c r="K28" s="63" t="inlineStr">
        <is>
          <t>27</t>
        </is>
      </c>
      <c r="L28" s="63" t="inlineStr">
        <is>
          <t>not saved</t>
        </is>
      </c>
      <c r="M28" s="63" t="inlineStr">
        <is>
          <t>Нужно автоматически создавать коммерческие предложения и расчеты по шаблонам и заданным параметрам.</t>
        </is>
      </c>
      <c r="N28" s="63" t="inlineStr">
        <is>
          <t>Один шаблон коммерческого предложения, одна схема входных параметров, проверка расчетов, один выходной файл и подтверждение перед отправкой.</t>
        </is>
      </c>
      <c r="O28" s="63" t="inlineStr">
        <is>
          <t>Автосоздание коммерческих предложений и расчетов по шаблонам и параметрам (Claude).
У нас в Dali Agency уже собрано готовое продуктовое ядро operations-docs: вход → извлечение/OCR → проверка схемы → запись в систему → очередь исключений с логом.
Мы не пишем систему с нуля. Оплачиваемая работа - кастомизация под вас: тип входа, обязательные поля, целевую систему и владельца исключений.
Первый пилот кастомизации, который я бы зафиксировал: один шаблон КП: входные параметры → проверка полей и формул → предпросмотр → подтверждение человеком.
Если граница совпадает, ответьте здесь в проекте FL.ru и пришлите один типичный вход, нужные поля, целевую систему и кто проверяет исключения. Я подтвержу fit и пришлю фиксированный milestone пилота (или короткий платный blueprint, если scope еще рыхлый) до начала реализации.</t>
        </is>
      </c>
      <c r="P28" s="63" t="inlineStr">
        <is>
          <t>No link in diagnostic proposal</t>
        </is>
      </c>
      <c r="Q28" s="63" t="inlineStr">
        <is>
          <t>https://www.fl.ru/projects/5514469/pomosch-v-nastroyke-claude.html</t>
        </is>
      </c>
      <c r="R28" s="63" t="inlineStr">
        <is>
          <t>High confidence; 27 ответов, бюджет и критерии корректности расчетов не определены.</t>
        </is>
      </c>
      <c r="S28" s="396" t="n"/>
      <c r="T28" s="103" t="inlineStr">
        <is>
          <t>Unknown</t>
        </is>
      </c>
      <c r="U28" s="396" t="n"/>
      <c r="V28" s="103" t="n"/>
      <c r="W28" s="103" t="n"/>
      <c r="X28" s="103" t="inlineStr">
        <is>
          <t>Not Evaluated</t>
        </is>
      </c>
      <c r="Y28" s="103" t="inlineStr">
        <is>
          <t>Unassigned</t>
        </is>
      </c>
      <c r="Z28" s="397" t="n"/>
      <c r="AA28" s="397" t="n"/>
      <c r="AB28" s="103" t="n"/>
      <c r="AC28" s="398" t="n"/>
      <c r="AD28" s="397" t="n"/>
      <c r="AE28" s="399">
        <f>IFERROR((AA28-AD28)/AA28,"")</f>
        <v/>
      </c>
      <c r="AF28" s="396" t="n"/>
      <c r="AG28" s="119" t="inlineStr">
        <is>
          <t>Batch B</t>
        </is>
      </c>
      <c r="AH28" s="127" t="inlineStr">
        <is>
          <t>Open</t>
        </is>
      </c>
      <c r="AI28" s="123" t="inlineStr">
        <is>
          <t>Direct page is open; commercial-proposal and template-calculation scope still matches. Keep the planned diagnostic restrained.</t>
        </is>
      </c>
      <c r="AJ28" s="123" t="inlineStr">
        <is>
          <t>2026-07-30 03:13 +04</t>
        </is>
      </c>
      <c r="AK28" s="139">
        <f>IF(AND(U28&lt;&gt;"",S28=""),"WARN: Reply date without sent date",IF(AND(OR(C28="Sent",C28="Replied",C28="Qualified",C28="Blueprint Proposed",C28="Pilot Proposed",C28="Blueprint Funded",C28="Pilot Funded",C28="Won"),S28=""),"WARN: Stage requires sent date",IF(AND(OR(C28="Replied",C28="Qualified",C28="Blueprint Proposed",C28="Pilot Proposed",C28="Blueprint Funded",C28="Pilot Funded",C28="Won"),U28=""),"WARN: Stage requires reply date",IF(AND(X28="Qualified",U28=""),"WARN: Qualified without reply date",IF(AND(C28="Qualified",X28&lt;&gt;"Qualified"),"WARN: Qualified stage mismatch",IF(AND(X28="Qualified",NOT(OR(C28="Qualified",C28="Blueprint Proposed",C28="Pilot Proposed",C28="Blueprint Funded",C28="Pilot Funded",C28="Won"))),"WARN: Qualified value stage mismatch",IF(AND(Z28&gt;0,NOT(OR(Y28="Blueprint",Y28="Direct Pilot"))),"WARN: Quote without sales path",IF(AND(OR(C28="Blueprint Proposed",C28="Blueprint Funded"),Y28&lt;&gt;"Blueprint"),"WARN: Blueprint stage path mismatch",IF(AND(OR(C28="Pilot Proposed",C28="Pilot Funded"),Y28&lt;&gt;"Direct Pilot"),"WARN: Pilot stage path mismatch",IF(AND(OR(C28="Blueprint Proposed",C28="Pilot Proposed",C28="Blueprint Funded",C28="Pilot Funded",C28="Won"),Z28&lt;=0),"WARN: Offer stage without quote",IF(AND(Z28&gt;0,NOT(OR(C28="Blueprint Proposed",C28="Pilot Proposed",C28="Blueprint Funded",C28="Pilot Funded",C28="Won"))),"WARN: Quote stage mismatch",IF(AND(AA28&gt;0,Z28&lt;=0),"WARN: Funded without quote",IF(AND(OR(C28="Blueprint Funded",C28="Pilot Funded",C28="Won"),AA28&lt;=0),"WARN: Funded stage without amount",IF(AND(AA28&gt;0,NOT(OR(C28="Blueprint Funded",C28="Pilot Funded",C28="Won"))),"WARN: Funded value stage mismatch","OK"))))))))))))))</f>
        <v/>
      </c>
    </row>
    <row r="29" ht="210" customHeight="1">
      <c r="A29" s="63" t="inlineStr">
        <is>
          <t>Hold</t>
        </is>
      </c>
      <c r="B29" s="63" t="inlineStr">
        <is>
          <t>Hold</t>
        </is>
      </c>
      <c r="C29" s="103" t="inlineStr">
        <is>
          <t>Hold</t>
        </is>
      </c>
      <c r="D29" s="63" t="inlineStr">
        <is>
          <t>Operations &amp; Documents</t>
        </is>
      </c>
      <c r="E29" s="199">
        <f>IF(G29&gt;=90,"A",IF(G29&gt;=80,"B",IF(G29&gt;=70,"C","D")))</f>
        <v/>
      </c>
      <c r="F29" s="63" t="inlineStr">
        <is>
          <t>Upwork:~022081838181027419548</t>
        </is>
      </c>
      <c r="G29" s="395" t="n">
        <v>85</v>
      </c>
      <c r="H29" s="63" t="inlineStr">
        <is>
          <t>Upwork</t>
        </is>
      </c>
      <c r="I29" s="63" t="inlineStr">
        <is>
          <t>n8n Automation Developer for Commercial Restoration</t>
        </is>
      </c>
      <c r="J29" s="63" t="inlineStr">
        <is>
          <t>Hourly: $5-$35</t>
        </is>
      </c>
      <c r="K29" s="63" t="inlineStr">
        <is>
          <t>50+</t>
        </is>
      </c>
      <c r="L29" s="63" t="inlineStr">
        <is>
          <t>21 hours ago</t>
        </is>
      </c>
      <c r="M29" s="63" t="inlineStr">
        <is>
          <t>Open-source incident signals need ingestion, dedupe, field extraction, scoring, storage, and alerting without overwhelming operators.</t>
        </is>
      </c>
      <c r="N29" s="63" t="inlineStr">
        <is>
          <t>One source class, one scoring rule, one store, and one notification route.</t>
        </is>
      </c>
      <c r="O29" s="63" t="inlineStr">
        <is>
          <t>I would keep the pilot to one event stream first: ingest, dedupe, score, store, alert. That proves signal quality before adding more sources.
I packaged that exact pilot boundary here: https://dali.agents.ge/for/upwork/operations-docs?ref=uw-022081838181027419548
If that boundary matches your brief, reply here in Upwork with one representative input, the required output fields, the target system, and the exception owner. I will turn those inputs into the first replay set and pass/fail acceptance test before implementation.</t>
        </is>
      </c>
      <c r="P29" s="63" t="inlineStr">
        <is>
          <t>https://dali.agents.ge/for/upwork/operations-docs?ref=uw-022081838181027419548</t>
        </is>
      </c>
      <c r="Q29" s="63" t="inlineStr">
        <is>
          <t>https://www.upwork.com/jobs/n8n-Automation-Developer-for-Commercial-Restoration_~022081838181027419548/?referrer_url_path=find_work_home</t>
        </is>
      </c>
      <c r="R29" s="63" t="inlineStr">
        <is>
          <t>High confidence; source quality and false-positive rates can undermine the workflow.</t>
        </is>
      </c>
      <c r="S29" s="396" t="n"/>
      <c r="T29" s="103" t="inlineStr">
        <is>
          <t>Unknown</t>
        </is>
      </c>
      <c r="U29" s="396" t="n"/>
      <c r="V29" s="103" t="n"/>
      <c r="W29" s="103" t="n"/>
      <c r="X29" s="103" t="inlineStr">
        <is>
          <t>Not Evaluated</t>
        </is>
      </c>
      <c r="Y29" s="103" t="inlineStr">
        <is>
          <t>Hold</t>
        </is>
      </c>
      <c r="Z29" s="397" t="n"/>
      <c r="AA29" s="397" t="n"/>
      <c r="AB29" s="103" t="n"/>
      <c r="AC29" s="398" t="n"/>
      <c r="AD29" s="397" t="n"/>
      <c r="AE29" s="399">
        <f>IFERROR((AA29-AD29)/AA29,"")</f>
        <v/>
      </c>
      <c r="AF29" s="396" t="n"/>
      <c r="AG29" s="119" t="inlineStr">
        <is>
          <t>Hold</t>
        </is>
      </c>
      <c r="AH29" s="127" t="inlineStr">
        <is>
          <t>Not Checked</t>
        </is>
      </c>
      <c r="AI29" s="123" t="inlineStr">
        <is>
          <t>Hold row; not part of the current live-listing audit.</t>
        </is>
      </c>
      <c r="AJ29" s="123" t="str"/>
      <c r="AK29" s="139">
        <f>IF(AND(U29&lt;&gt;"",S29=""),"WARN: Reply date without sent date",IF(AND(OR(C29="Sent",C29="Replied",C29="Qualified",C29="Blueprint Proposed",C29="Pilot Proposed",C29="Blueprint Funded",C29="Pilot Funded",C29="Won"),S29=""),"WARN: Stage requires sent date",IF(AND(OR(C29="Replied",C29="Qualified",C29="Blueprint Proposed",C29="Pilot Proposed",C29="Blueprint Funded",C29="Pilot Funded",C29="Won"),U29=""),"WARN: Stage requires reply date",IF(AND(X29="Qualified",U29=""),"WARN: Qualified without reply date",IF(AND(C29="Qualified",X29&lt;&gt;"Qualified"),"WARN: Qualified stage mismatch",IF(AND(X29="Qualified",NOT(OR(C29="Qualified",C29="Blueprint Proposed",C29="Pilot Proposed",C29="Blueprint Funded",C29="Pilot Funded",C29="Won"))),"WARN: Qualified value stage mismatch",IF(AND(Z29&gt;0,NOT(OR(Y29="Blueprint",Y29="Direct Pilot"))),"WARN: Quote without sales path",IF(AND(OR(C29="Blueprint Proposed",C29="Blueprint Funded"),Y29&lt;&gt;"Blueprint"),"WARN: Blueprint stage path mismatch",IF(AND(OR(C29="Pilot Proposed",C29="Pilot Funded"),Y29&lt;&gt;"Direct Pilot"),"WARN: Pilot stage path mismatch",IF(AND(OR(C29="Blueprint Proposed",C29="Pilot Proposed",C29="Blueprint Funded",C29="Pilot Funded",C29="Won"),Z29&lt;=0),"WARN: Offer stage without quote",IF(AND(Z29&gt;0,NOT(OR(C29="Blueprint Proposed",C29="Pilot Proposed",C29="Blueprint Funded",C29="Pilot Funded",C29="Won"))),"WARN: Quote stage mismatch",IF(AND(AA29&gt;0,Z29&lt;=0),"WARN: Funded without quote",IF(AND(OR(C29="Blueprint Funded",C29="Pilot Funded",C29="Won"),AA29&lt;=0),"WARN: Funded stage without amount",IF(AND(AA29&gt;0,NOT(OR(C29="Blueprint Funded",C29="Pilot Funded",C29="Won"))),"WARN: Funded value stage mismatch","OK"))))))))))))))</f>
        <v/>
      </c>
    </row>
    <row r="30" ht="210" customHeight="1">
      <c r="A30" s="63" t="inlineStr">
        <is>
          <t>Hold</t>
        </is>
      </c>
      <c r="B30" s="63" t="inlineStr">
        <is>
          <t>Hold</t>
        </is>
      </c>
      <c r="C30" s="103" t="inlineStr">
        <is>
          <t>Hold</t>
        </is>
      </c>
      <c r="D30" s="63" t="inlineStr">
        <is>
          <t>Operations &amp; Documents</t>
        </is>
      </c>
      <c r="E30" s="199">
        <f>IF(G30&gt;=90,"A",IF(G30&gt;=80,"B",IF(G30&gt;=70,"C","D")))</f>
        <v/>
      </c>
      <c r="F30" s="63" t="inlineStr">
        <is>
          <t>Upwork:~022072326457921207805</t>
        </is>
      </c>
      <c r="G30" s="395" t="n">
        <v>75</v>
      </c>
      <c r="H30" s="63" t="inlineStr">
        <is>
          <t>Upwork</t>
        </is>
      </c>
      <c r="I30" s="63" t="inlineStr">
        <is>
          <t>AI / Automation Engineer - Build an Automated Financial Data-to-Report Pipeline</t>
        </is>
      </c>
      <c r="J30" s="63" t="inlineStr">
        <is>
          <t>Hourly</t>
        </is>
      </c>
      <c r="K30" s="63" t="inlineStr">
        <is>
          <t>50+</t>
        </is>
      </c>
      <c r="L30" s="63" t="inlineStr">
        <is>
          <t>4 weeks ago</t>
        </is>
      </c>
      <c r="M30" s="63" t="inlineStr">
        <is>
          <t>Financial data must move into a standardized report with analysis and QA instead of repeated manual assembly.</t>
        </is>
      </c>
      <c r="N30" s="63" t="inlineStr">
        <is>
          <t>One financial data source, one report template, and one QA checklist.</t>
        </is>
      </c>
      <c r="O30" s="63" t="inlineStr">
        <is>
          <t>I would build one repeatable data-to-report path first: one financial source, one standardized report, then QA checks before expanding.
I packaged that exact pilot boundary here: https://dali.agents.ge/for/upwork/operations-docs?ref=uw-022072326457921207805
If that boundary matches your brief, reply here in Upwork with one representative input, the required output fields, the target system, and the exception owner. I will turn those inputs into the first replay set and pass/fail acceptance test before implementation.</t>
        </is>
      </c>
      <c r="P30" s="63" t="inlineStr">
        <is>
          <t>https://dali.agents.ge/for/upwork/operations-docs?ref=uw-022072326457921207805</t>
        </is>
      </c>
      <c r="Q30" s="63" t="inlineStr">
        <is>
          <t>https://www.upwork.com/jobs/span-class-highlight-span-span-class-highlight-Automation-span-Engineer-Build-span-class-highlight-Automated-span-Financial-Data-Report-Pipeline_~022072326457921207805/?referrer_url_path=/nx/search/jobs/</t>
        </is>
      </c>
      <c r="R30" s="63" t="inlineStr">
        <is>
          <t>Medium-high confidence; normalization and QA requirements are not fully specified.</t>
        </is>
      </c>
      <c r="S30" s="396" t="n"/>
      <c r="T30" s="103" t="inlineStr">
        <is>
          <t>Unknown</t>
        </is>
      </c>
      <c r="U30" s="396" t="n"/>
      <c r="V30" s="103" t="n"/>
      <c r="W30" s="103" t="n"/>
      <c r="X30" s="103" t="inlineStr">
        <is>
          <t>Not Evaluated</t>
        </is>
      </c>
      <c r="Y30" s="103" t="inlineStr">
        <is>
          <t>Hold</t>
        </is>
      </c>
      <c r="Z30" s="397" t="n"/>
      <c r="AA30" s="397" t="n"/>
      <c r="AB30" s="103" t="n"/>
      <c r="AC30" s="398" t="n"/>
      <c r="AD30" s="397" t="n"/>
      <c r="AE30" s="399">
        <f>IFERROR((AA30-AD30)/AA30,"")</f>
        <v/>
      </c>
      <c r="AF30" s="396" t="n"/>
      <c r="AG30" s="119" t="inlineStr">
        <is>
          <t>Hold</t>
        </is>
      </c>
      <c r="AH30" s="127" t="inlineStr">
        <is>
          <t>Not Checked</t>
        </is>
      </c>
      <c r="AI30" s="123" t="inlineStr">
        <is>
          <t>Hold row; not part of the current live-listing audit.</t>
        </is>
      </c>
      <c r="AJ30" s="123" t="str"/>
      <c r="AK30" s="139">
        <f>IF(AND(U30&lt;&gt;"",S30=""),"WARN: Reply date without sent date",IF(AND(OR(C30="Sent",C30="Replied",C30="Qualified",C30="Blueprint Proposed",C30="Pilot Proposed",C30="Blueprint Funded",C30="Pilot Funded",C30="Won"),S30=""),"WARN: Stage requires sent date",IF(AND(OR(C30="Replied",C30="Qualified",C30="Blueprint Proposed",C30="Pilot Proposed",C30="Blueprint Funded",C30="Pilot Funded",C30="Won"),U30=""),"WARN: Stage requires reply date",IF(AND(X30="Qualified",U30=""),"WARN: Qualified without reply date",IF(AND(C30="Qualified",X30&lt;&gt;"Qualified"),"WARN: Qualified stage mismatch",IF(AND(X30="Qualified",NOT(OR(C30="Qualified",C30="Blueprint Proposed",C30="Pilot Proposed",C30="Blueprint Funded",C30="Pilot Funded",C30="Won"))),"WARN: Qualified value stage mismatch",IF(AND(Z30&gt;0,NOT(OR(Y30="Blueprint",Y30="Direct Pilot"))),"WARN: Quote without sales path",IF(AND(OR(C30="Blueprint Proposed",C30="Blueprint Funded"),Y30&lt;&gt;"Blueprint"),"WARN: Blueprint stage path mismatch",IF(AND(OR(C30="Pilot Proposed",C30="Pilot Funded"),Y30&lt;&gt;"Direct Pilot"),"WARN: Pilot stage path mismatch",IF(AND(OR(C30="Blueprint Proposed",C30="Pilot Proposed",C30="Blueprint Funded",C30="Pilot Funded",C30="Won"),Z30&lt;=0),"WARN: Offer stage without quote",IF(AND(Z30&gt;0,NOT(OR(C30="Blueprint Proposed",C30="Pilot Proposed",C30="Blueprint Funded",C30="Pilot Funded",C30="Won"))),"WARN: Quote stage mismatch",IF(AND(AA30&gt;0,Z30&lt;=0),"WARN: Funded without quote",IF(AND(OR(C30="Blueprint Funded",C30="Pilot Funded",C30="Won"),AA30&lt;=0),"WARN: Funded stage without amount",IF(AND(AA30&gt;0,NOT(OR(C30="Blueprint Funded",C30="Pilot Funded",C30="Won"))),"WARN: Funded value stage mismatch","OK"))))))))))))))</f>
        <v/>
      </c>
    </row>
    <row r="31" ht="210" customHeight="1">
      <c r="A31" s="63" t="inlineStr">
        <is>
          <t>Wave 1</t>
        </is>
      </c>
      <c r="B31" s="63" t="inlineStr">
        <is>
          <t>Landing Link</t>
        </is>
      </c>
      <c r="C31" s="103" t="inlineStr">
        <is>
          <t>Not Sent</t>
        </is>
      </c>
      <c r="D31" s="63" t="inlineStr">
        <is>
          <t>Internal Knowledge Assistant</t>
        </is>
      </c>
      <c r="E31" s="199">
        <f>IF(G31&gt;=90,"A",IF(G31&gt;=80,"B",IF(G31&gt;=70,"C","D")))</f>
        <v/>
      </c>
      <c r="F31" s="63" t="inlineStr">
        <is>
          <t>Upwork:~022075311922210730379</t>
        </is>
      </c>
      <c r="G31" s="395" t="n">
        <v>90</v>
      </c>
      <c r="H31" s="63" t="inlineStr">
        <is>
          <t>Upwork</t>
        </is>
      </c>
      <c r="I31" s="63" t="inlineStr">
        <is>
          <t>AI Automation Engineer - Build One Business-Ops AI Agent (Claude + n8n, RAG)</t>
        </is>
      </c>
      <c r="J31" s="63" t="inlineStr">
        <is>
          <t>Hourly: $20.00 - $30.00</t>
        </is>
      </c>
      <c r="K31" s="63" t="inlineStr">
        <is>
          <t>50+</t>
        </is>
      </c>
      <c r="L31" s="63" t="inlineStr">
        <is>
          <t>3 weeks ago</t>
        </is>
      </c>
      <c r="M31" s="63" t="inlineStr">
        <is>
          <t>CRM, Sheets, and internal RAG documents must become a prioritized daily Slack briefing without unreliable autonomous actions.</t>
        </is>
      </c>
      <c r="N31" s="63" t="inlineStr">
        <is>
          <t>A read-only daily briefing from CRM, Sheets, and selected internal docs into one Slack list.</t>
        </is>
      </c>
      <c r="O31" s="63" t="inlineStr">
        <is>
          <t>You want CRM + Sheets + internal docs into a prioritized daily Slack briefing without unreliable autonomous actions.
We already have a production-ready product core for this at Dali Agency (knowledge-assistant core): ingest approved sources → retrieve with citations → answer or refuse when evidence is missing → eval/replay set.
We are not starting from a blank repo. The paid work is customization under your stack: your source bundle, user group, and refusal rules.
First customization pilot I would lock: read-only daily briefing first: CRM + Sheets + selected docs → one prioritized Slack list; no autonomous writes until trusted.
Packaged boundary + how we run that pilot: https://dali.agents.ge/for/upwork/knowledge-assistant?ref=uw-022075311922210730379
If that matches, reply here in Upwork with approved source set, intended users, and two real questions you ask today. I will confirm fit and send a fixed pilot milestone (or a short paid blueprint if scope is still loose) before any implementation starts.</t>
        </is>
      </c>
      <c r="P31" s="63" t="inlineStr">
        <is>
          <t>https://dali.agents.ge/for/upwork/knowledge-assistant?ref=uw-022075311922210730379</t>
        </is>
      </c>
      <c r="Q31" s="63" t="inlineStr">
        <is>
          <t>https://www.upwork.com/jobs/span-class-highlight-span-span-class-highlight-Automation-span-Engineer-Build-One-Business-Ops-span-class-highlight-span-span-class-highlight-Agent-span-Claude-n8n-RAG_~022075311922210730379/?referrer_url_path=/nx/search/jobs/</t>
        </is>
      </c>
      <c r="R31" s="63" t="inlineStr">
        <is>
          <t>High confidence; RAG quality and broad business-ops scope need a strict boundary.</t>
        </is>
      </c>
      <c r="S31" s="396" t="n"/>
      <c r="T31" s="103" t="inlineStr">
        <is>
          <t>Unknown</t>
        </is>
      </c>
      <c r="U31" s="396" t="n"/>
      <c r="V31" s="103" t="n"/>
      <c r="W31" s="103" t="n"/>
      <c r="X31" s="103" t="inlineStr">
        <is>
          <t>Not Evaluated</t>
        </is>
      </c>
      <c r="Y31" s="103" t="inlineStr">
        <is>
          <t>Unassigned</t>
        </is>
      </c>
      <c r="Z31" s="397" t="n"/>
      <c r="AA31" s="397" t="n"/>
      <c r="AB31" s="103" t="n"/>
      <c r="AC31" s="398" t="n"/>
      <c r="AD31" s="397" t="n"/>
      <c r="AE31" s="399">
        <f>IFERROR((AA31-AD31)/AA31,"")</f>
        <v/>
      </c>
      <c r="AF31" s="396" t="n"/>
      <c r="AG31" s="119" t="inlineStr">
        <is>
          <t>Batch C</t>
        </is>
      </c>
      <c r="AH31" s="127" t="inlineStr">
        <is>
          <t>Manual Check</t>
        </is>
      </c>
      <c r="AI31" s="123" t="inlineStr">
        <is>
          <t>Anonymous direct page was blocked by a Cloudflare challenge. Verify open status and scope inside Upwork.</t>
        </is>
      </c>
      <c r="AJ31" s="123" t="inlineStr">
        <is>
          <t>2026-07-30 03:14 +04</t>
        </is>
      </c>
      <c r="AK31" s="139">
        <f>IF(AND(U31&lt;&gt;"",S31=""),"WARN: Reply date without sent date",IF(AND(OR(C31="Sent",C31="Replied",C31="Qualified",C31="Blueprint Proposed",C31="Pilot Proposed",C31="Blueprint Funded",C31="Pilot Funded",C31="Won"),S31=""),"WARN: Stage requires sent date",IF(AND(OR(C31="Replied",C31="Qualified",C31="Blueprint Proposed",C31="Pilot Proposed",C31="Blueprint Funded",C31="Pilot Funded",C31="Won"),U31=""),"WARN: Stage requires reply date",IF(AND(X31="Qualified",U31=""),"WARN: Qualified without reply date",IF(AND(C31="Qualified",X31&lt;&gt;"Qualified"),"WARN: Qualified stage mismatch",IF(AND(X31="Qualified",NOT(OR(C31="Qualified",C31="Blueprint Proposed",C31="Pilot Proposed",C31="Blueprint Funded",C31="Pilot Funded",C31="Won"))),"WARN: Qualified value stage mismatch",IF(AND(Z31&gt;0,NOT(OR(Y31="Blueprint",Y31="Direct Pilot"))),"WARN: Quote without sales path",IF(AND(OR(C31="Blueprint Proposed",C31="Blueprint Funded"),Y31&lt;&gt;"Blueprint"),"WARN: Blueprint stage path mismatch",IF(AND(OR(C31="Pilot Proposed",C31="Pilot Funded"),Y31&lt;&gt;"Direct Pilot"),"WARN: Pilot stage path mismatch",IF(AND(OR(C31="Blueprint Proposed",C31="Pilot Proposed",C31="Blueprint Funded",C31="Pilot Funded",C31="Won"),Z31&lt;=0),"WARN: Offer stage without quote",IF(AND(Z31&gt;0,NOT(OR(C31="Blueprint Proposed",C31="Pilot Proposed",C31="Blueprint Funded",C31="Pilot Funded",C31="Won"))),"WARN: Quote stage mismatch",IF(AND(AA31&gt;0,Z31&lt;=0),"WARN: Funded without quote",IF(AND(OR(C31="Blueprint Funded",C31="Pilot Funded",C31="Won"),AA31&lt;=0),"WARN: Funded stage without amount",IF(AND(AA31&gt;0,NOT(OR(C31="Blueprint Funded",C31="Pilot Funded",C31="Won"))),"WARN: Funded value stage mismatch","OK"))))))))))))))</f>
        <v/>
      </c>
    </row>
    <row r="32" ht="210" customHeight="1">
      <c r="A32" s="63" t="inlineStr">
        <is>
          <t>Wave 1</t>
        </is>
      </c>
      <c r="B32" s="63" t="inlineStr">
        <is>
          <t>Landing Link</t>
        </is>
      </c>
      <c r="C32" s="103" t="inlineStr">
        <is>
          <t>Lost</t>
        </is>
      </c>
      <c r="D32" s="63" t="inlineStr">
        <is>
          <t>Internal Knowledge Assistant</t>
        </is>
      </c>
      <c r="E32" s="199">
        <f>IF(G32&gt;=90,"A",IF(G32&gt;=80,"B",IF(G32&gt;=70,"C","D")))</f>
        <v/>
      </c>
      <c r="F32" s="63" t="inlineStr">
        <is>
          <t>Upwork:~022082116475484824757</t>
        </is>
      </c>
      <c r="G32" s="395" t="n">
        <v>80</v>
      </c>
      <c r="H32" s="63" t="inlineStr">
        <is>
          <t>Upwork</t>
        </is>
      </c>
      <c r="I32" s="63" t="inlineStr">
        <is>
          <t>Hive Second Brains: Shared Agentic Knowledge/Ontology Infrastructure + Graph RAG System</t>
        </is>
      </c>
      <c r="J32" s="63" t="inlineStr">
        <is>
          <t>Hourly: $50</t>
        </is>
      </c>
      <c r="K32" s="63" t="inlineStr">
        <is>
          <t>50+</t>
        </is>
      </c>
      <c r="L32" s="63" t="inlineStr">
        <is>
          <t>2 hours ago</t>
        </is>
      </c>
      <c r="M32" s="63" t="inlineStr">
        <is>
          <t>Shared knowledge across Slack, Notion, Zoom, and recordings must surface decisions, tasks, owners, deadlines, source links, and role-aware answers.</t>
        </is>
      </c>
      <c r="N32" s="63" t="inlineStr">
        <is>
          <t>Ingest two or three sources, extract decisions and tasks, add Slack search and source links; exclude Graph RAG, full RBAC, and 200-user scale claims.</t>
        </is>
      </c>
      <c r="O32" s="63" t="inlineStr">
        <is>
          <t>I saw your brief about a shared knowledge layer across Slack, Notion, Zoom, and meeting notes. I can scope a narrow pilot that extracts decisions, tasks, owners, and deadlines from a few sources, keeps answers grounded, and proves the workflow before any larger rollout.
I packaged that exact pilot boundary here: https://dali.agents.ge/for/upwork/knowledge-assistant?ref=uw-022082116475484824757
If that boundary matches your brief, reply here in Upwork with the approved source set, intended users, and two representative questions. I will turn those inputs into the first replay set and pass/fail acceptance test before implementation.</t>
        </is>
      </c>
      <c r="P32" s="63" t="inlineStr">
        <is>
          <t>https://dali.agents.ge/for/upwork/knowledge-assistant?ref=uw-022082116475484824757</t>
        </is>
      </c>
      <c r="Q32" s="63" t="inlineStr">
        <is>
          <t>https://www.upwork.com/jobs/Hive-Second-Brains-Shared-Agentic-Knowledge-Ontology-Infrastructure-Graph-RAG-System_~022082116475484824757/?referrer_url_path=find_work_home</t>
        </is>
      </c>
      <c r="R32" s="63" t="inlineStr">
        <is>
          <t>High confidence; scope can inflate into Graph RAG, enterprise RBAC, and 200-user scale before validation.</t>
        </is>
      </c>
      <c r="S32" s="396" t="n"/>
      <c r="T32" s="103" t="inlineStr">
        <is>
          <t>Unknown</t>
        </is>
      </c>
      <c r="U32" s="396" t="n"/>
      <c r="V32" s="103" t="n"/>
      <c r="W32" s="103" t="inlineStr">
        <is>
          <t>Upwork reports the job is no longer available and activity shows one hire. Do not send.</t>
        </is>
      </c>
      <c r="X32" s="103" t="inlineStr">
        <is>
          <t>Not Evaluated</t>
        </is>
      </c>
      <c r="Y32" s="103" t="inlineStr">
        <is>
          <t>Archive</t>
        </is>
      </c>
      <c r="Z32" s="397" t="n"/>
      <c r="AA32" s="397" t="n"/>
      <c r="AB32" s="103" t="inlineStr">
        <is>
          <t>Role filled</t>
        </is>
      </c>
      <c r="AC32" s="398" t="n"/>
      <c r="AD32" s="397" t="n"/>
      <c r="AE32" s="399">
        <f>IFERROR((AA32-AD32)/AA32,"")</f>
        <v/>
      </c>
      <c r="AF32" s="396" t="n"/>
      <c r="AG32" s="119" t="inlineStr">
        <is>
          <t>Skip - Closed</t>
        </is>
      </c>
      <c r="AH32" s="127" t="inlineStr">
        <is>
          <t>Closed</t>
        </is>
      </c>
      <c r="AI32" s="123" t="inlineStr">
        <is>
          <t>Upwork reports the job is no longer available and activity shows one hire. Do not send.</t>
        </is>
      </c>
      <c r="AJ32" s="123" t="inlineStr">
        <is>
          <t>2026-07-30 03:17 +04</t>
        </is>
      </c>
      <c r="AK32" s="139">
        <f>IF(AND(U32&lt;&gt;"",S32=""),"WARN: Reply date without sent date",IF(AND(OR(C32="Sent",C32="Replied",C32="Qualified",C32="Blueprint Proposed",C32="Pilot Proposed",C32="Blueprint Funded",C32="Pilot Funded",C32="Won"),S32=""),"WARN: Stage requires sent date",IF(AND(OR(C32="Replied",C32="Qualified",C32="Blueprint Proposed",C32="Pilot Proposed",C32="Blueprint Funded",C32="Pilot Funded",C32="Won"),U32=""),"WARN: Stage requires reply date",IF(AND(X32="Qualified",U32=""),"WARN: Qualified without reply date",IF(AND(C32="Qualified",X32&lt;&gt;"Qualified"),"WARN: Qualified stage mismatch",IF(AND(X32="Qualified",NOT(OR(C32="Qualified",C32="Blueprint Proposed",C32="Pilot Proposed",C32="Blueprint Funded",C32="Pilot Funded",C32="Won"))),"WARN: Qualified value stage mismatch",IF(AND(Z32&gt;0,NOT(OR(Y32="Blueprint",Y32="Direct Pilot"))),"WARN: Quote without sales path",IF(AND(OR(C32="Blueprint Proposed",C32="Blueprint Funded"),Y32&lt;&gt;"Blueprint"),"WARN: Blueprint stage path mismatch",IF(AND(OR(C32="Pilot Proposed",C32="Pilot Funded"),Y32&lt;&gt;"Direct Pilot"),"WARN: Pilot stage path mismatch",IF(AND(OR(C32="Blueprint Proposed",C32="Pilot Proposed",C32="Blueprint Funded",C32="Pilot Funded",C32="Won"),Z32&lt;=0),"WARN: Offer stage without quote",IF(AND(Z32&gt;0,NOT(OR(C32="Blueprint Proposed",C32="Pilot Proposed",C32="Blueprint Funded",C32="Pilot Funded",C32="Won"))),"WARN: Quote stage mismatch",IF(AND(AA32&gt;0,Z32&lt;=0),"WARN: Funded without quote",IF(AND(OR(C32="Blueprint Funded",C32="Pilot Funded",C32="Won"),AA32&lt;=0),"WARN: Funded stage without amount",IF(AND(AA32&gt;0,NOT(OR(C32="Blueprint Funded",C32="Pilot Funded",C32="Won"))),"WARN: Funded value stage mismatch","OK"))))))))))))))</f>
        <v/>
      </c>
    </row>
    <row r="33" ht="210" customHeight="1">
      <c r="A33" s="63" t="inlineStr">
        <is>
          <t>Wave 1</t>
        </is>
      </c>
      <c r="B33" s="63" t="inlineStr">
        <is>
          <t>Landing Link</t>
        </is>
      </c>
      <c r="C33" s="103" t="inlineStr">
        <is>
          <t>Not Sent</t>
        </is>
      </c>
      <c r="D33" s="63" t="inlineStr">
        <is>
          <t>Internal Knowledge Assistant</t>
        </is>
      </c>
      <c r="E33" s="199">
        <f>IF(G33&gt;=90,"A",IF(G33&gt;=80,"B",IF(G33&gt;=70,"C","D")))</f>
        <v/>
      </c>
      <c r="F33" s="63" t="inlineStr">
        <is>
          <t>Upwork:~022081833254755580077</t>
        </is>
      </c>
      <c r="G33" s="395" t="n">
        <v>75</v>
      </c>
      <c r="H33" s="63" t="inlineStr">
        <is>
          <t>Upwork</t>
        </is>
      </c>
      <c r="I33" s="63" t="inlineStr">
        <is>
          <t>RAG Chatbot Developer - LangChain + Vector Search over Internal Docs</t>
        </is>
      </c>
      <c r="J33" s="63" t="inlineStr">
        <is>
          <t>$500</t>
        </is>
      </c>
      <c r="K33" s="63" t="inlineStr">
        <is>
          <t>50+</t>
        </is>
      </c>
      <c r="L33" s="63" t="inlineStr">
        <is>
          <t>21 hours ago</t>
        </is>
      </c>
      <c r="M33" s="63" t="inlineStr">
        <is>
          <t>An internal-doc RAG chatbot must ship in 5-7 days with ingestion, chunking, vector search, source-linked answers, and fail-closed behavior.</t>
        </is>
      </c>
      <c r="N33" s="63" t="inlineStr">
        <is>
          <t>One document repository, explicit citations, and refusal when evidence is missing.</t>
        </is>
      </c>
      <c r="O33" s="63" t="inlineStr">
        <is>
          <t>5-7 day internal-doc RAG chatbot with ingestion, vector search, source-linked answers, and fail-closed behavior.
We already have a production-ready product core for this at Dali Agency (knowledge-assistant core): ingest approved sources → retrieve with citations → answer or refuse when evidence is missing → eval/replay set.
We are not starting from a blank repo. The paid work is customization under your stack: your source bundle, user group, and refusal rules.
First customization pilot I would lock: one document repository, citations on every factual answer, explicit refusal when evidence is missing.
Packaged boundary + how we run that pilot: https://dali.agents.ge/for/upwork/knowledge-assistant?ref=uw-022081833254755580077
If that matches, reply here in Upwork with approved source set, intended users, and two real questions you ask today. I will confirm fit and send a fixed pilot milestone (or a short paid blueprint if scope is still loose) before any implementation starts.</t>
        </is>
      </c>
      <c r="P33" s="63" t="inlineStr">
        <is>
          <t>https://dali.agents.ge/for/upwork/knowledge-assistant?ref=uw-022081833254755580077</t>
        </is>
      </c>
      <c r="Q33" s="63" t="inlineStr">
        <is>
          <t>https://www.upwork.com/jobs/RAG-Chatbot-Developer-LangChain-Vector-Search-over-Internal-Docs_~022081833254755580077/?referrer_url_path=find_work_home</t>
        </is>
      </c>
      <c r="R33" s="63" t="inlineStr">
        <is>
          <t>High confidence; proof of already shipped RAG systems matters more than feature breadth.</t>
        </is>
      </c>
      <c r="S33" s="396" t="n"/>
      <c r="T33" s="103" t="inlineStr">
        <is>
          <t>Unknown</t>
        </is>
      </c>
      <c r="U33" s="396" t="n"/>
      <c r="V33" s="103" t="n"/>
      <c r="W33" s="103" t="n"/>
      <c r="X33" s="103" t="inlineStr">
        <is>
          <t>Not Evaluated</t>
        </is>
      </c>
      <c r="Y33" s="103" t="inlineStr">
        <is>
          <t>Unassigned</t>
        </is>
      </c>
      <c r="Z33" s="397" t="n"/>
      <c r="AA33" s="397" t="n"/>
      <c r="AB33" s="103" t="n"/>
      <c r="AC33" s="398" t="n"/>
      <c r="AD33" s="397" t="n"/>
      <c r="AE33" s="399">
        <f>IFERROR((AA33-AD33)/AA33,"")</f>
        <v/>
      </c>
      <c r="AF33" s="396" t="n"/>
      <c r="AG33" s="119" t="inlineStr">
        <is>
          <t>Batch B</t>
        </is>
      </c>
      <c r="AH33" s="127" t="inlineStr">
        <is>
          <t>Manual Check</t>
        </is>
      </c>
      <c r="AI33" s="123" t="inlineStr">
        <is>
          <t>Anonymous direct page was blocked by a Cloudflare challenge. Verify open status and scope inside Upwork.</t>
        </is>
      </c>
      <c r="AJ33" s="123" t="inlineStr">
        <is>
          <t>2026-07-30 03:13 +04</t>
        </is>
      </c>
      <c r="AK33" s="139">
        <f>IF(AND(U33&lt;&gt;"",S33=""),"WARN: Reply date without sent date",IF(AND(OR(C33="Sent",C33="Replied",C33="Qualified",C33="Blueprint Proposed",C33="Pilot Proposed",C33="Blueprint Funded",C33="Pilot Funded",C33="Won"),S33=""),"WARN: Stage requires sent date",IF(AND(OR(C33="Replied",C33="Qualified",C33="Blueprint Proposed",C33="Pilot Proposed",C33="Blueprint Funded",C33="Pilot Funded",C33="Won"),U33=""),"WARN: Stage requires reply date",IF(AND(X33="Qualified",U33=""),"WARN: Qualified without reply date",IF(AND(C33="Qualified",X33&lt;&gt;"Qualified"),"WARN: Qualified stage mismatch",IF(AND(X33="Qualified",NOT(OR(C33="Qualified",C33="Blueprint Proposed",C33="Pilot Proposed",C33="Blueprint Funded",C33="Pilot Funded",C33="Won"))),"WARN: Qualified value stage mismatch",IF(AND(Z33&gt;0,NOT(OR(Y33="Blueprint",Y33="Direct Pilot"))),"WARN: Quote without sales path",IF(AND(OR(C33="Blueprint Proposed",C33="Blueprint Funded"),Y33&lt;&gt;"Blueprint"),"WARN: Blueprint stage path mismatch",IF(AND(OR(C33="Pilot Proposed",C33="Pilot Funded"),Y33&lt;&gt;"Direct Pilot"),"WARN: Pilot stage path mismatch",IF(AND(OR(C33="Blueprint Proposed",C33="Pilot Proposed",C33="Blueprint Funded",C33="Pilot Funded",C33="Won"),Z33&lt;=0),"WARN: Offer stage without quote",IF(AND(Z33&gt;0,NOT(OR(C33="Blueprint Proposed",C33="Pilot Proposed",C33="Blueprint Funded",C33="Pilot Funded",C33="Won"))),"WARN: Quote stage mismatch",IF(AND(AA33&gt;0,Z33&lt;=0),"WARN: Funded without quote",IF(AND(OR(C33="Blueprint Funded",C33="Pilot Funded",C33="Won"),AA33&lt;=0),"WARN: Funded stage without amount",IF(AND(AA33&gt;0,NOT(OR(C33="Blueprint Funded",C33="Pilot Funded",C33="Won"))),"WARN: Funded value stage mismatch","OK"))))))))))))))</f>
        <v/>
      </c>
    </row>
    <row r="34" ht="210" customHeight="1">
      <c r="A34" s="63" t="inlineStr">
        <is>
          <t>Wave 1</t>
        </is>
      </c>
      <c r="B34" s="63" t="inlineStr">
        <is>
          <t>No-Link Diagnostic</t>
        </is>
      </c>
      <c r="C34" s="103" t="inlineStr">
        <is>
          <t>Not Sent</t>
        </is>
      </c>
      <c r="D34" s="63" t="inlineStr">
        <is>
          <t>Internal Knowledge Assistant</t>
        </is>
      </c>
      <c r="E34" s="199">
        <f>IF(G34&gt;=90,"A",IF(G34&gt;=80,"B",IF(G34&gt;=70,"C","D")))</f>
        <v/>
      </c>
      <c r="F34" s="63" t="inlineStr">
        <is>
          <t>Upwork:~022079236014340896590</t>
        </is>
      </c>
      <c r="G34" s="395" t="n">
        <v>75</v>
      </c>
      <c r="H34" s="63" t="inlineStr">
        <is>
          <t>Upwork</t>
        </is>
      </c>
      <c r="I34" s="63" t="inlineStr">
        <is>
          <t>AI Agent Developer (Python/FastAPI) - RAG, Pinecone &amp; LLM Automation Expert Needed</t>
        </is>
      </c>
      <c r="J34" s="63" t="inlineStr">
        <is>
          <t>Hourly: $25.00 - $50.00</t>
        </is>
      </c>
      <c r="K34" s="63" t="inlineStr">
        <is>
          <t>50+</t>
        </is>
      </c>
      <c r="L34" s="63" t="inlineStr">
        <is>
          <t>last week</t>
        </is>
      </c>
      <c r="M34" s="63" t="inlineStr">
        <is>
          <t>A production RAG system needs ingestion, chunking, embeddings, Pinecone hybrid search, tools, memory, evaluation, observability, and deployment.</t>
        </is>
      </c>
      <c r="N34" s="63" t="inlineStr">
        <is>
          <t>One ingestion-to-answer loop, one vector store, one tool path, and basic evaluation logs.</t>
        </is>
      </c>
      <c r="O34" s="63" t="inlineStr">
        <is>
          <t>Production RAG with ingestion, Pinecone hybrid search, tools, memory, eval, and deployment is a full system - start by proving the answer loop.
We already have a production-ready product core for this at Dali Agency (knowledge-assistant core): ingest approved sources → retrieve with citations → answer or refuse when evidence is missing → eval/replay set.
We are not starting from a blank repo. The paid work is customization under your stack: your source bundle, user group, and refusal rules.
First customization pilot I would lock: one ingestion-to-answer loop, one vector store, one tool path, basic evaluation logs before memory/multi-tool expansion.
If that matches, reply here in Upwork with approved source set, intended users, and two real questions you ask today. I will confirm fit and send a fixed pilot milestone (or a short paid blueprint if scope is still loose) before any implementation starts.</t>
        </is>
      </c>
      <c r="P34" s="63" t="inlineStr">
        <is>
          <t>No link in diagnostic proposal</t>
        </is>
      </c>
      <c r="Q34" s="63" t="inlineStr">
        <is>
          <t>https://www.upwork.com/jobs/span-class-highlight-span-span-class-highlight-Agent-span-Developer-Python-FastAPI-RAG-Pinecone-amp-LLM-span-class-highlight-Automation-span-Expert-Needed_~022079236014340896590/?referrer_url_path=/nx/search/jobs/</t>
        </is>
      </c>
      <c r="R34" s="63" t="inlineStr">
        <is>
          <t>Medium-high confidence; the ask includes a larger agent platform, not only a knowledge assistant.</t>
        </is>
      </c>
      <c r="S34" s="396" t="n"/>
      <c r="T34" s="103" t="inlineStr">
        <is>
          <t>Unknown</t>
        </is>
      </c>
      <c r="U34" s="396" t="n"/>
      <c r="V34" s="103" t="n"/>
      <c r="W34" s="103" t="n"/>
      <c r="X34" s="103" t="inlineStr">
        <is>
          <t>Not Evaluated</t>
        </is>
      </c>
      <c r="Y34" s="103" t="inlineStr">
        <is>
          <t>Unassigned</t>
        </is>
      </c>
      <c r="Z34" s="397" t="n"/>
      <c r="AA34" s="397" t="n"/>
      <c r="AB34" s="103" t="n"/>
      <c r="AC34" s="398" t="n"/>
      <c r="AD34" s="397" t="n"/>
      <c r="AE34" s="399">
        <f>IFERROR((AA34-AD34)/AA34,"")</f>
        <v/>
      </c>
      <c r="AF34" s="396" t="n"/>
      <c r="AG34" s="119" t="inlineStr">
        <is>
          <t>Batch C</t>
        </is>
      </c>
      <c r="AH34" s="127" t="inlineStr">
        <is>
          <t>Manual Check</t>
        </is>
      </c>
      <c r="AI34" s="123" t="inlineStr">
        <is>
          <t>Anonymous direct page was blocked by a Cloudflare challenge. Verify open status and scope inside Upwork before the no-link diagnostic.</t>
        </is>
      </c>
      <c r="AJ34" s="123" t="inlineStr">
        <is>
          <t>2026-07-30 03:14 +04</t>
        </is>
      </c>
      <c r="AK34" s="139">
        <f>IF(AND(U34&lt;&gt;"",S34=""),"WARN: Reply date without sent date",IF(AND(OR(C34="Sent",C34="Replied",C34="Qualified",C34="Blueprint Proposed",C34="Pilot Proposed",C34="Blueprint Funded",C34="Pilot Funded",C34="Won"),S34=""),"WARN: Stage requires sent date",IF(AND(OR(C34="Replied",C34="Qualified",C34="Blueprint Proposed",C34="Pilot Proposed",C34="Blueprint Funded",C34="Pilot Funded",C34="Won"),U34=""),"WARN: Stage requires reply date",IF(AND(X34="Qualified",U34=""),"WARN: Qualified without reply date",IF(AND(C34="Qualified",X34&lt;&gt;"Qualified"),"WARN: Qualified stage mismatch",IF(AND(X34="Qualified",NOT(OR(C34="Qualified",C34="Blueprint Proposed",C34="Pilot Proposed",C34="Blueprint Funded",C34="Pilot Funded",C34="Won"))),"WARN: Qualified value stage mismatch",IF(AND(Z34&gt;0,NOT(OR(Y34="Blueprint",Y34="Direct Pilot"))),"WARN: Quote without sales path",IF(AND(OR(C34="Blueprint Proposed",C34="Blueprint Funded"),Y34&lt;&gt;"Blueprint"),"WARN: Blueprint stage path mismatch",IF(AND(OR(C34="Pilot Proposed",C34="Pilot Funded"),Y34&lt;&gt;"Direct Pilot"),"WARN: Pilot stage path mismatch",IF(AND(OR(C34="Blueprint Proposed",C34="Pilot Proposed",C34="Blueprint Funded",C34="Pilot Funded",C34="Won"),Z34&lt;=0),"WARN: Offer stage without quote",IF(AND(Z34&gt;0,NOT(OR(C34="Blueprint Proposed",C34="Pilot Proposed",C34="Blueprint Funded",C34="Pilot Funded",C34="Won"))),"WARN: Quote stage mismatch",IF(AND(AA34&gt;0,Z34&lt;=0),"WARN: Funded without quote",IF(AND(OR(C34="Blueprint Funded",C34="Pilot Funded",C34="Won"),AA34&lt;=0),"WARN: Funded stage without amount",IF(AND(AA34&gt;0,NOT(OR(C34="Blueprint Funded",C34="Pilot Funded",C34="Won"))),"WARN: Funded value stage mismatch","OK"))))))))))))))</f>
        <v/>
      </c>
    </row>
    <row r="35" ht="210" customHeight="1">
      <c r="A35" s="63" t="inlineStr">
        <is>
          <t>Hold</t>
        </is>
      </c>
      <c r="B35" s="63" t="inlineStr">
        <is>
          <t>Hold</t>
        </is>
      </c>
      <c r="C35" s="103" t="inlineStr">
        <is>
          <t>Hold</t>
        </is>
      </c>
      <c r="D35" s="63" t="inlineStr">
        <is>
          <t>Internal Knowledge Assistant</t>
        </is>
      </c>
      <c r="E35" s="199">
        <f>IF(G35&gt;=90,"A",IF(G35&gt;=80,"B",IF(G35&gt;=70,"C","D")))</f>
        <v/>
      </c>
      <c r="F35" s="63" t="inlineStr">
        <is>
          <t>Upwork:~022081922819151747063</t>
        </is>
      </c>
      <c r="G35" s="395" t="n">
        <v>70</v>
      </c>
      <c r="H35" s="63" t="inlineStr">
        <is>
          <t>Upwork</t>
        </is>
      </c>
      <c r="I35" s="63" t="inlineStr">
        <is>
          <t>AI Knowledge Assistant for AML/CTF Compliance Platform (Sydney Preferred)</t>
        </is>
      </c>
      <c r="J35" s="63" t="inlineStr">
        <is>
          <t>$1,500</t>
        </is>
      </c>
      <c r="K35" s="63" t="inlineStr">
        <is>
          <t>50+</t>
        </is>
      </c>
      <c r="L35" s="63" t="inlineStr">
        <is>
          <t>15 hours ago</t>
        </is>
      </c>
      <c r="M35" s="63" t="inlineStr">
        <is>
          <t>A compliance assistant must answer from AUSTRAC, legislation, SOPs, and industry rules for multiple client types with precise context.</t>
        </is>
      </c>
      <c r="N35" s="63" t="inlineStr">
        <is>
          <t>One client type, one curated source set, citation-backed answers, and strict refusal outside approved material.</t>
        </is>
      </c>
      <c r="O35" s="63" t="inlineStr">
        <is>
          <t>I read your compliance assistant brief and would treat it as a narrow, controlled knowledge assistant pilot. The safest path is one client type, one curated source set, citation-backed answers, and a strict refusal mode for anything outside the approved material.
I packaged that exact pilot boundary here: https://dali.agents.ge/for/upwork/knowledge-assistant?ref=uw-022081922819151747063
If that boundary matches your brief, reply here in Upwork with the approved source set, intended users, and two representative questions. I will turn those inputs into the first replay set and pass/fail acceptance test before implementation.</t>
        </is>
      </c>
      <c r="P35" s="63" t="inlineStr">
        <is>
          <t>https://dali.agents.ge/for/upwork/knowledge-assistant?ref=uw-022081922819151747063</t>
        </is>
      </c>
      <c r="Q35" s="63" t="inlineStr">
        <is>
          <t>https://www.upwork.com/jobs/Knowledge-Assistant-for-AML-CTF-Compliance-Platform-Sydney-Preferred_~022081922819151747063/?referrer_url_path=find_work_home</t>
        </is>
      </c>
      <c r="R35" s="63" t="inlineStr">
        <is>
          <t>High confidence; legal sensitivity, Sydney preference, and a short timeline make overpromising risky.</t>
        </is>
      </c>
      <c r="S35" s="396" t="n"/>
      <c r="T35" s="103" t="inlineStr">
        <is>
          <t>Unknown</t>
        </is>
      </c>
      <c r="U35" s="396" t="n"/>
      <c r="V35" s="103" t="n"/>
      <c r="W35" s="103" t="n"/>
      <c r="X35" s="103" t="inlineStr">
        <is>
          <t>Not Evaluated</t>
        </is>
      </c>
      <c r="Y35" s="103" t="inlineStr">
        <is>
          <t>Hold</t>
        </is>
      </c>
      <c r="Z35" s="397" t="n"/>
      <c r="AA35" s="397" t="n"/>
      <c r="AB35" s="103" t="n"/>
      <c r="AC35" s="398" t="n"/>
      <c r="AD35" s="397" t="n"/>
      <c r="AE35" s="399">
        <f>IFERROR((AA35-AD35)/AA35,"")</f>
        <v/>
      </c>
      <c r="AF35" s="396" t="n"/>
      <c r="AG35" s="119" t="inlineStr">
        <is>
          <t>Hold</t>
        </is>
      </c>
      <c r="AH35" s="127" t="inlineStr">
        <is>
          <t>Not Checked</t>
        </is>
      </c>
      <c r="AI35" s="123" t="inlineStr">
        <is>
          <t>Hold row; not part of the current live-listing audit.</t>
        </is>
      </c>
      <c r="AJ35" s="123" t="str"/>
      <c r="AK35" s="139">
        <f>IF(AND(U35&lt;&gt;"",S35=""),"WARN: Reply date without sent date",IF(AND(OR(C35="Sent",C35="Replied",C35="Qualified",C35="Blueprint Proposed",C35="Pilot Proposed",C35="Blueprint Funded",C35="Pilot Funded",C35="Won"),S35=""),"WARN: Stage requires sent date",IF(AND(OR(C35="Replied",C35="Qualified",C35="Blueprint Proposed",C35="Pilot Proposed",C35="Blueprint Funded",C35="Pilot Funded",C35="Won"),U35=""),"WARN: Stage requires reply date",IF(AND(X35="Qualified",U35=""),"WARN: Qualified without reply date",IF(AND(C35="Qualified",X35&lt;&gt;"Qualified"),"WARN: Qualified stage mismatch",IF(AND(X35="Qualified",NOT(OR(C35="Qualified",C35="Blueprint Proposed",C35="Pilot Proposed",C35="Blueprint Funded",C35="Pilot Funded",C35="Won"))),"WARN: Qualified value stage mismatch",IF(AND(Z35&gt;0,NOT(OR(Y35="Blueprint",Y35="Direct Pilot"))),"WARN: Quote without sales path",IF(AND(OR(C35="Blueprint Proposed",C35="Blueprint Funded"),Y35&lt;&gt;"Blueprint"),"WARN: Blueprint stage path mismatch",IF(AND(OR(C35="Pilot Proposed",C35="Pilot Funded"),Y35&lt;&gt;"Direct Pilot"),"WARN: Pilot stage path mismatch",IF(AND(OR(C35="Blueprint Proposed",C35="Pilot Proposed",C35="Blueprint Funded",C35="Pilot Funded",C35="Won"),Z35&lt;=0),"WARN: Offer stage without quote",IF(AND(Z35&gt;0,NOT(OR(C35="Blueprint Proposed",C35="Pilot Proposed",C35="Blueprint Funded",C35="Pilot Funded",C35="Won"))),"WARN: Quote stage mismatch",IF(AND(AA35&gt;0,Z35&lt;=0),"WARN: Funded without quote",IF(AND(OR(C35="Blueprint Funded",C35="Pilot Funded",C35="Won"),AA35&lt;=0),"WARN: Funded stage without amount",IF(AND(AA35&gt;0,NOT(OR(C35="Blueprint Funded",C35="Pilot Funded",C35="Won"))),"WARN: Funded value stage mismatch","OK"))))))))))))))</f>
        <v/>
      </c>
    </row>
    <row r="36" ht="210" customHeight="1">
      <c r="A36" s="63" t="inlineStr">
        <is>
          <t>Hold</t>
        </is>
      </c>
      <c r="B36" s="63" t="inlineStr">
        <is>
          <t>Design Partner Hold</t>
        </is>
      </c>
      <c r="C36" s="103" t="inlineStr">
        <is>
          <t>Hold</t>
        </is>
      </c>
      <c r="D36" s="63" t="inlineStr">
        <is>
          <t>Voice Agents</t>
        </is>
      </c>
      <c r="E36" s="199">
        <f>IF(G36&gt;=90,"A",IF(G36&gt;=80,"B",IF(G36&gt;=70,"C","D")))</f>
        <v/>
      </c>
      <c r="F36" s="63" t="inlineStr">
        <is>
          <t>Upwork:~022082043668763252124</t>
        </is>
      </c>
      <c r="G36" s="395" t="n">
        <v>65</v>
      </c>
      <c r="H36" s="63" t="inlineStr">
        <is>
          <t>Upwork</t>
        </is>
      </c>
      <c r="I36" s="63" t="inlineStr">
        <is>
          <t>AI Automation | AI Voice Agent &amp; n8n Automation | Vapi / Retell AI / Eleven Labs | LLM Integration</t>
        </is>
      </c>
      <c r="J36" s="63" t="inlineStr">
        <is>
          <t>Hourly: $20-$40</t>
        </is>
      </c>
      <c r="K36" s="63" t="inlineStr">
        <is>
          <t>50+</t>
        </is>
      </c>
      <c r="L36" s="63" t="inlineStr">
        <is>
          <t>7 hours ago</t>
        </is>
      </c>
      <c r="M36" s="63" t="inlineStr">
        <is>
          <t>Voice agents across Vapi, Retell, and ElevenLabs must answer calls, qualify, book, support, and update CRM and calendar through automation.</t>
        </is>
      </c>
      <c r="N36" s="63" t="inlineStr">
        <is>
          <t>One disclosed inbound call flow, one booking or qualification path, and human transfer outside scope.</t>
        </is>
      </c>
      <c r="O36" s="63" t="inlineStr">
        <is>
          <t>Your brief fits a narrow pilot well: one disclosed inbound call flow, one booking or qualification path, and human transfer for exceptions. I would avoid expanding into support and multiple channels until the first lane is reliable.
I packaged that exact pilot boundary here: https://dali.agents.ge/for/upwork/voice-agents?ref=uw-022082043668763252124
If that boundary matches your brief, reply here in Upwork with one call type, telephony provider, intended action, and human handoff rule. I will turn those inputs into the first replay set and pass/fail acceptance test before implementation.</t>
        </is>
      </c>
      <c r="P36" s="63" t="inlineStr">
        <is>
          <t>https://dali.agents.ge/for/upwork/voice-agents?ref=uw-022082043668763252124</t>
        </is>
      </c>
      <c r="Q36" s="63" t="inlineStr">
        <is>
          <t>https://www.upwork.com/jobs/Automation-Voice-Agent-n8n-Automation-Vapi-Retell-Eleven-Labs-LLM-Integration_~022082043668763252124/?referrer_url_path=find_work_home</t>
        </is>
      </c>
      <c r="R36" s="63" t="inlineStr">
        <is>
          <t>Medium-high confidence; scope is broad, though the hourly rate is plausible.</t>
        </is>
      </c>
      <c r="S36" s="396" t="n"/>
      <c r="T36" s="103" t="inlineStr">
        <is>
          <t>Unknown</t>
        </is>
      </c>
      <c r="U36" s="396" t="n"/>
      <c r="V36" s="103" t="n"/>
      <c r="W36" s="103" t="n"/>
      <c r="X36" s="103" t="inlineStr">
        <is>
          <t>Not Evaluated</t>
        </is>
      </c>
      <c r="Y36" s="103" t="inlineStr">
        <is>
          <t>Hold</t>
        </is>
      </c>
      <c r="Z36" s="397" t="n"/>
      <c r="AA36" s="397" t="n"/>
      <c r="AB36" s="103" t="n"/>
      <c r="AC36" s="398" t="n"/>
      <c r="AD36" s="397" t="n"/>
      <c r="AE36" s="399">
        <f>IFERROR((AA36-AD36)/AA36,"")</f>
        <v/>
      </c>
      <c r="AF36" s="396" t="n"/>
      <c r="AG36" s="119" t="inlineStr">
        <is>
          <t>Hold</t>
        </is>
      </c>
      <c r="AH36" s="127" t="inlineStr">
        <is>
          <t>Not Checked</t>
        </is>
      </c>
      <c r="AI36" s="123" t="inlineStr">
        <is>
          <t>Hold row; not part of the current live-listing audit.</t>
        </is>
      </c>
      <c r="AJ36" s="123" t="str"/>
      <c r="AK36" s="139">
        <f>IF(AND(U36&lt;&gt;"",S36=""),"WARN: Reply date without sent date",IF(AND(OR(C36="Sent",C36="Replied",C36="Qualified",C36="Blueprint Proposed",C36="Pilot Proposed",C36="Blueprint Funded",C36="Pilot Funded",C36="Won"),S36=""),"WARN: Stage requires sent date",IF(AND(OR(C36="Replied",C36="Qualified",C36="Blueprint Proposed",C36="Pilot Proposed",C36="Blueprint Funded",C36="Pilot Funded",C36="Won"),U36=""),"WARN: Stage requires reply date",IF(AND(X36="Qualified",U36=""),"WARN: Qualified without reply date",IF(AND(C36="Qualified",X36&lt;&gt;"Qualified"),"WARN: Qualified stage mismatch",IF(AND(X36="Qualified",NOT(OR(C36="Qualified",C36="Blueprint Proposed",C36="Pilot Proposed",C36="Blueprint Funded",C36="Pilot Funded",C36="Won"))),"WARN: Qualified value stage mismatch",IF(AND(Z36&gt;0,NOT(OR(Y36="Blueprint",Y36="Direct Pilot"))),"WARN: Quote without sales path",IF(AND(OR(C36="Blueprint Proposed",C36="Blueprint Funded"),Y36&lt;&gt;"Blueprint"),"WARN: Blueprint stage path mismatch",IF(AND(OR(C36="Pilot Proposed",C36="Pilot Funded"),Y36&lt;&gt;"Direct Pilot"),"WARN: Pilot stage path mismatch",IF(AND(OR(C36="Blueprint Proposed",C36="Pilot Proposed",C36="Blueprint Funded",C36="Pilot Funded",C36="Won"),Z36&lt;=0),"WARN: Offer stage without quote",IF(AND(Z36&gt;0,NOT(OR(C36="Blueprint Proposed",C36="Pilot Proposed",C36="Blueprint Funded",C36="Pilot Funded",C36="Won"))),"WARN: Quote stage mismatch",IF(AND(AA36&gt;0,Z36&lt;=0),"WARN: Funded without quote",IF(AND(OR(C36="Blueprint Funded",C36="Pilot Funded",C36="Won"),AA36&lt;=0),"WARN: Funded stage without amount",IF(AND(AA36&gt;0,NOT(OR(C36="Blueprint Funded",C36="Pilot Funded",C36="Won"))),"WARN: Funded value stage mismatch","OK"))))))))))))))</f>
        <v/>
      </c>
    </row>
    <row r="37" ht="210" customHeight="1">
      <c r="A37" s="63" t="inlineStr">
        <is>
          <t>Hold</t>
        </is>
      </c>
      <c r="B37" s="63" t="inlineStr">
        <is>
          <t>Design Partner Hold</t>
        </is>
      </c>
      <c r="C37" s="103" t="inlineStr">
        <is>
          <t>Hold</t>
        </is>
      </c>
      <c r="D37" s="63" t="inlineStr">
        <is>
          <t>Voice Agents</t>
        </is>
      </c>
      <c r="E37" s="199">
        <f>IF(G37&gt;=90,"A",IF(G37&gt;=80,"B",IF(G37&gt;=70,"C","D")))</f>
        <v/>
      </c>
      <c r="F37" s="63" t="inlineStr">
        <is>
          <t>Upwork:~022080259272497837564</t>
        </is>
      </c>
      <c r="G37" s="395" t="n">
        <v>65</v>
      </c>
      <c r="H37" s="63" t="inlineStr">
        <is>
          <t>Upwork</t>
        </is>
      </c>
      <c r="I37" s="63" t="inlineStr">
        <is>
          <t>AI Calling Agent &amp; AI Chatbot Developer for Business Automation</t>
        </is>
      </c>
      <c r="J37" s="63" t="inlineStr">
        <is>
          <t>Hourly: $25.00 - $40.00</t>
        </is>
      </c>
      <c r="K37" s="63" t="inlineStr">
        <is>
          <t>20 to 50</t>
        </is>
      </c>
      <c r="L37" s="63" t="inlineStr">
        <is>
          <t>5 days ago</t>
        </is>
      </c>
      <c r="M37" s="63" t="inlineStr">
        <is>
          <t>One phone agent plus chatbot must connect CRM, calendar, knowledge base, analytics, and production deployment, but evaluation is unclear.</t>
        </is>
      </c>
      <c r="N37" s="63" t="inlineStr">
        <is>
          <t>Voice-first on one call type, one CRM update, one handoff path; defer chat.</t>
        </is>
      </c>
      <c r="O37" s="63" t="inlineStr">
        <is>
          <t>I would separate this into a voice-first pilot instead of building the phone agent and chatbot together. One call type, one CRM update, and one handoff path is the safest way to prove the system before expanding.
I packaged that exact pilot boundary here: https://dali.agents.ge/for/upwork/voice-agents?ref=uw-022080259272497837564
If that boundary matches your brief, reply here in Upwork with one call type, telephony provider, intended action, and human handoff rule. I will turn those inputs into the first replay set and pass/fail acceptance test before implementation.</t>
        </is>
      </c>
      <c r="P37" s="63" t="inlineStr">
        <is>
          <t>https://dali.agents.ge/for/upwork/voice-agents?ref=uw-022080259272497837564</t>
        </is>
      </c>
      <c r="Q37" s="63" t="inlineStr">
        <is>
          <t>https://www.upwork.com/jobs/span-class-highlight-span-Calling-span-class-highlight-Agent-span-amp-span-class-highlight-span-Chatbot-Developer-for-Business-span-class-highlight-Automation-span_~022080259272497837564/?referrer_url_path=/nx/search/jobs/</t>
        </is>
      </c>
      <c r="R37" s="63" t="inlineStr">
        <is>
          <t>High confidence; combined voice and chat scope must stay narrow.</t>
        </is>
      </c>
      <c r="S37" s="396" t="n"/>
      <c r="T37" s="103" t="inlineStr">
        <is>
          <t>Unknown</t>
        </is>
      </c>
      <c r="U37" s="396" t="n"/>
      <c r="V37" s="103" t="n"/>
      <c r="W37" s="103" t="n"/>
      <c r="X37" s="103" t="inlineStr">
        <is>
          <t>Not Evaluated</t>
        </is>
      </c>
      <c r="Y37" s="103" t="inlineStr">
        <is>
          <t>Hold</t>
        </is>
      </c>
      <c r="Z37" s="397" t="n"/>
      <c r="AA37" s="397" t="n"/>
      <c r="AB37" s="103" t="n"/>
      <c r="AC37" s="398" t="n"/>
      <c r="AD37" s="397" t="n"/>
      <c r="AE37" s="399">
        <f>IFERROR((AA37-AD37)/AA37,"")</f>
        <v/>
      </c>
      <c r="AF37" s="396" t="n"/>
      <c r="AG37" s="119" t="inlineStr">
        <is>
          <t>Hold</t>
        </is>
      </c>
      <c r="AH37" s="127" t="inlineStr">
        <is>
          <t>Not Checked</t>
        </is>
      </c>
      <c r="AI37" s="123" t="inlineStr">
        <is>
          <t>Hold row; not part of the current live-listing audit.</t>
        </is>
      </c>
      <c r="AJ37" s="123" t="str"/>
      <c r="AK37" s="139">
        <f>IF(AND(U37&lt;&gt;"",S37=""),"WARN: Reply date without sent date",IF(AND(OR(C37="Sent",C37="Replied",C37="Qualified",C37="Blueprint Proposed",C37="Pilot Proposed",C37="Blueprint Funded",C37="Pilot Funded",C37="Won"),S37=""),"WARN: Stage requires sent date",IF(AND(OR(C37="Replied",C37="Qualified",C37="Blueprint Proposed",C37="Pilot Proposed",C37="Blueprint Funded",C37="Pilot Funded",C37="Won"),U37=""),"WARN: Stage requires reply date",IF(AND(X37="Qualified",U37=""),"WARN: Qualified without reply date",IF(AND(C37="Qualified",X37&lt;&gt;"Qualified"),"WARN: Qualified stage mismatch",IF(AND(X37="Qualified",NOT(OR(C37="Qualified",C37="Blueprint Proposed",C37="Pilot Proposed",C37="Blueprint Funded",C37="Pilot Funded",C37="Won"))),"WARN: Qualified value stage mismatch",IF(AND(Z37&gt;0,NOT(OR(Y37="Blueprint",Y37="Direct Pilot"))),"WARN: Quote without sales path",IF(AND(OR(C37="Blueprint Proposed",C37="Blueprint Funded"),Y37&lt;&gt;"Blueprint"),"WARN: Blueprint stage path mismatch",IF(AND(OR(C37="Pilot Proposed",C37="Pilot Funded"),Y37&lt;&gt;"Direct Pilot"),"WARN: Pilot stage path mismatch",IF(AND(OR(C37="Blueprint Proposed",C37="Pilot Proposed",C37="Blueprint Funded",C37="Pilot Funded",C37="Won"),Z37&lt;=0),"WARN: Offer stage without quote",IF(AND(Z37&gt;0,NOT(OR(C37="Blueprint Proposed",C37="Pilot Proposed",C37="Blueprint Funded",C37="Pilot Funded",C37="Won"))),"WARN: Quote stage mismatch",IF(AND(AA37&gt;0,Z37&lt;=0),"WARN: Funded without quote",IF(AND(OR(C37="Blueprint Funded",C37="Pilot Funded",C37="Won"),AA37&lt;=0),"WARN: Funded stage without amount",IF(AND(AA37&gt;0,NOT(OR(C37="Blueprint Funded",C37="Pilot Funded",C37="Won"))),"WARN: Funded value stage mismatch","OK"))))))))))))))</f>
        <v/>
      </c>
    </row>
  </sheetData>
  <mergeCells count="3">
    <mergeCell ref="A1:AK1"/>
    <mergeCell ref="A3:AK3"/>
    <mergeCell ref="A2:AK2"/>
  </mergeCells>
  <conditionalFormatting sqref="AH6:AH37">
    <cfRule type="containsText" priority="1" operator="containsText" dxfId="0" text="Open"/>
    <cfRule type="containsText" priority="2" operator="containsText" dxfId="1" text="Closed"/>
    <cfRule type="containsText" priority="3" operator="containsText" dxfId="2" text="Manual Check"/>
  </conditionalFormatting>
  <conditionalFormatting sqref="AK6:AK37">
    <cfRule type="containsText" priority="4" operator="containsText" dxfId="3" text="OK"/>
    <cfRule type="containsText" priority="5" operator="containsText" dxfId="1" text="WARN:"/>
  </conditionalFormatting>
  <conditionalFormatting sqref="E6:E37">
    <cfRule type="containsText" priority="6" operator="containsText" dxfId="5" text="A"/>
    <cfRule type="containsText" priority="7" operator="containsText" dxfId="6" text="B"/>
    <cfRule type="containsText" priority="8" operator="containsText" dxfId="2" text="C"/>
    <cfRule type="containsText" priority="9" operator="containsText" dxfId="8" text="D"/>
  </conditionalFormatting>
  <conditionalFormatting sqref="C6:C37">
    <cfRule type="containsText" priority="10" operator="containsText" dxfId="9" text="Hold"/>
    <cfRule type="containsText" priority="11" operator="containsText" dxfId="3" text="Won"/>
    <cfRule type="containsText" priority="12" operator="containsText" dxfId="3" text="Funded"/>
    <cfRule type="containsText" priority="13" operator="containsText" dxfId="1" text="Lost"/>
  </conditionalFormatting>
  <conditionalFormatting sqref="T6:T37">
    <cfRule type="containsText" priority="14" operator="containsText" dxfId="0" text="Yes"/>
  </conditionalFormatting>
  <conditionalFormatting sqref="G6:G37">
    <cfRule type="dataBar" priority="15">
      <dataBar>
        <cfvo type="min"/>
        <cfvo type="max"/>
        <color rgb="FFE43A32"/>
      </dataBar>
    </cfRule>
  </conditionalFormatting>
  <conditionalFormatting sqref="B6:B37">
    <cfRule type="containsText" priority="16" operator="containsText" dxfId="2" text="No-Link Diagnostic"/>
    <cfRule type="containsText" priority="17" operator="containsText" dxfId="15" text="Design Partner Hold"/>
  </conditionalFormatting>
  <conditionalFormatting sqref="X6:X37">
    <cfRule type="containsText" priority="18" operator="containsText" dxfId="3" text="Qualified"/>
  </conditionalFormatting>
  <dataValidations count="6">
    <dataValidation sqref="C6:C37" showDropDown="0" showInputMessage="0" showErrorMessage="0" allowBlank="0" type="list">
      <formula1>"Not Sent,Sent,Replied,Qualified,Blueprint Proposed,Pilot Proposed,Blueprint Funded,Pilot Funded,Won,Lost,Hold"</formula1>
    </dataValidation>
    <dataValidation sqref="T6:T37" showDropDown="0" showInputMessage="0" showErrorMessage="0" allowBlank="0" type="list">
      <formula1>"Unknown,Yes,No"</formula1>
    </dataValidation>
    <dataValidation sqref="X6:X37" showDropDown="0" showInputMessage="0" showErrorMessage="0" allowBlank="0" type="list">
      <formula1>"Not Evaluated,Qualified,Blueprint Required,Disqualified"</formula1>
    </dataValidation>
    <dataValidation sqref="Y6:Y37" showDropDown="0" showInputMessage="0" showErrorMessage="0" allowBlank="0" type="list">
      <formula1>"Unassigned,Blueprint,Direct Pilot,Archive,Hold"</formula1>
    </dataValidation>
    <dataValidation sqref="AB6:AB37" showDropDown="0" showInputMessage="0" showErrorMessage="0" allowBlank="0" type="list">
      <formula1>"No owner,No samples,Scope too broad,Approval boundary rejected,Budget mismatch,Low urgency,Role filled,No response,Platform or compliance risk"</formula1>
    </dataValidation>
    <dataValidation sqref="AH6:AH37" showDropDown="0" showInputMessage="0" showErrorMessage="0" allowBlank="0" type="list">
      <formula1>"Open,Closed,Manual Check,Not Checked"</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41"/>
  <sheetViews>
    <sheetView showGridLines="0" workbookViewId="0">
      <selection activeCell="A1" sqref="A1"/>
    </sheetView>
  </sheetViews>
  <sheetFormatPr baseColWidth="8" defaultRowHeight="15"/>
  <cols>
    <col width="20" customWidth="1" min="1" max="1"/>
    <col width="8.439999580383301" customWidth="1" min="2" max="2"/>
    <col width="11.10999965667725" customWidth="1" min="3" max="3"/>
    <col width="12" customWidth="1" min="4" max="4"/>
    <col width="13.89000034332275" customWidth="1" min="5" max="5"/>
    <col width="8.439999580383301" customWidth="1" min="6" max="6"/>
    <col width="11.67000007629395" customWidth="1" min="7" max="7"/>
    <col width="8.439999580383301" customWidth="1" min="8" max="8"/>
    <col width="16.11000061035156" customWidth="1" min="9" max="9"/>
    <col width="8.439999580383301" customWidth="1" min="10" max="10"/>
    <col width="12.22000026702881" customWidth="1" min="11" max="11"/>
    <col width="8.439999580383301" customWidth="1" min="12" max="12"/>
  </cols>
  <sheetData>
    <row r="1" ht="24" customHeight="1">
      <c r="A1" s="9" t="inlineStr">
        <is>
          <t>Dali marketplace presale launch</t>
        </is>
      </c>
      <c r="B1" s="1" t="n"/>
      <c r="C1" s="1" t="n"/>
      <c r="D1" s="1" t="n"/>
      <c r="E1" s="1" t="n"/>
      <c r="F1" s="1" t="n"/>
      <c r="G1" s="1" t="n"/>
      <c r="H1" s="1" t="n"/>
      <c r="I1" s="1" t="n"/>
      <c r="J1" s="1" t="n"/>
      <c r="K1" s="1" t="n"/>
      <c r="L1" s="1" t="n"/>
    </row>
    <row r="2" ht="24" customHeight="1">
      <c r="A2" s="1" t="n"/>
      <c r="B2" s="1" t="n"/>
      <c r="C2" s="1" t="n"/>
      <c r="D2" s="1" t="n"/>
      <c r="E2" s="1" t="n"/>
      <c r="F2" s="1" t="n"/>
      <c r="G2" s="1" t="n"/>
      <c r="H2" s="1" t="n"/>
      <c r="I2" s="1" t="n"/>
      <c r="J2" s="1" t="n"/>
      <c r="K2" s="1" t="n"/>
      <c r="L2" s="1" t="n"/>
    </row>
    <row r="3" ht="24" customHeight="1">
      <c r="A3" s="17" t="inlineStr">
        <is>
          <t>A live control panel for the 32 selected marketplace requests. Update only the pale-yellow cells in Outreach Queue; formulas and this dashboard update automatically.</t>
        </is>
      </c>
      <c r="B3" s="1" t="n"/>
      <c r="C3" s="1" t="n"/>
      <c r="D3" s="1" t="n"/>
      <c r="E3" s="1" t="n"/>
      <c r="F3" s="1" t="n"/>
      <c r="G3" s="1" t="n"/>
      <c r="H3" s="1" t="n"/>
      <c r="I3" s="1" t="n"/>
      <c r="J3" s="1" t="n"/>
      <c r="K3" s="1" t="n"/>
      <c r="L3" s="1" t="n"/>
    </row>
    <row r="5">
      <c r="A5" s="400" t="inlineStr">
        <is>
          <t>Total targets</t>
        </is>
      </c>
      <c r="B5" s="401" t="n"/>
      <c r="C5" s="400" t="inlineStr">
        <is>
          <t>Original Wave 1</t>
        </is>
      </c>
      <c r="D5" s="401" t="n"/>
      <c r="E5" s="400" t="inlineStr">
        <is>
          <t>Current sendable</t>
        </is>
      </c>
      <c r="F5" s="401" t="n"/>
      <c r="G5" s="400" t="inlineStr">
        <is>
          <t>Current linked</t>
        </is>
      </c>
      <c r="H5" s="401" t="n"/>
      <c r="I5" s="400" t="inlineStr">
        <is>
          <t>No-link diagnostic</t>
        </is>
      </c>
      <c r="J5" s="401" t="n"/>
      <c r="K5" s="400" t="inlineStr">
        <is>
          <t>Holds</t>
        </is>
      </c>
      <c r="L5" s="401" t="n"/>
    </row>
    <row r="6">
      <c r="A6" s="402">
        <f>COUNTA('Outreach Queue'!$F$6:$F$37)</f>
        <v/>
      </c>
      <c r="B6" s="213" t="n"/>
      <c r="C6" s="402">
        <f>COUNTIF('Outreach Queue'!$A$6:$A$37,"Wave 1")</f>
        <v/>
      </c>
      <c r="D6" s="213" t="n"/>
      <c r="E6" s="402">
        <f>COUNTIFS('Outreach Queue'!$A$6:$A$37,"Wave 1",'Outreach Queue'!$AG$6:$AG$37,"&lt;&gt;Skip - Closed",'Outreach Queue'!$AH$6:$AH$37,"&lt;&gt;Closed")</f>
        <v/>
      </c>
      <c r="F6" s="213" t="n"/>
      <c r="G6" s="402">
        <f>COUNTIFS('Outreach Queue'!$A$6:$A$37,"Wave 1",'Outreach Queue'!$B$6:$B$37,"Landing Link",'Outreach Queue'!$AG$6:$AG$37,"&lt;&gt;Skip - Closed",'Outreach Queue'!$AH$6:$AH$37,"&lt;&gt;Closed")</f>
        <v/>
      </c>
      <c r="H6" s="213" t="n"/>
      <c r="I6" s="402">
        <f>COUNTIFS('Outreach Queue'!$A$6:$A$37,"Wave 1",'Outreach Queue'!$B$6:$B$37,"No-Link Diagnostic",'Outreach Queue'!$AG$6:$AG$37,"&lt;&gt;Skip - Closed",'Outreach Queue'!$AH$6:$AH$37,"&lt;&gt;Closed")</f>
        <v/>
      </c>
      <c r="J6" s="213" t="n"/>
      <c r="K6" s="402">
        <f>COUNTIF('Outreach Queue'!$C$6:$C$37,"Hold")</f>
        <v/>
      </c>
      <c r="L6" s="213" t="n"/>
    </row>
    <row r="7">
      <c r="A7" s="403" t="inlineStr">
        <is>
          <t>selected</t>
        </is>
      </c>
      <c r="B7" s="404" t="n"/>
      <c r="C7" s="403" t="inlineStr">
        <is>
          <t>planned</t>
        </is>
      </c>
      <c r="D7" s="404" t="n"/>
      <c r="E7" s="403" t="inlineStr">
        <is>
          <t>maximum now</t>
        </is>
      </c>
      <c r="F7" s="404" t="n"/>
      <c r="G7" s="403" t="inlineStr">
        <is>
          <t>sendable</t>
        </is>
      </c>
      <c r="H7" s="404" t="n"/>
      <c r="I7" s="403" t="inlineStr">
        <is>
          <t>not causal</t>
        </is>
      </c>
      <c r="J7" s="404" t="n"/>
      <c r="K7" s="403" t="inlineStr">
        <is>
          <t>not sent</t>
        </is>
      </c>
      <c r="L7" s="404" t="n"/>
    </row>
    <row r="10">
      <c r="A10" s="249" t="inlineStr">
        <is>
          <t>Live funnel</t>
        </is>
      </c>
      <c r="B10" s="1" t="n"/>
      <c r="C10" s="1" t="n"/>
      <c r="D10" s="1" t="n"/>
      <c r="E10" s="249" t="inlineStr">
        <is>
          <t>Current stage distribution</t>
        </is>
      </c>
      <c r="F10" s="1" t="n"/>
      <c r="G10" s="1" t="n"/>
      <c r="I10" s="249" t="inlineStr">
        <is>
          <t>Current dispatch state</t>
        </is>
      </c>
      <c r="J10" s="1" t="n"/>
      <c r="K10" s="1" t="n"/>
      <c r="L10" s="1" t="n"/>
    </row>
    <row r="11">
      <c r="A11" s="44" t="inlineStr">
        <is>
          <t>Event</t>
        </is>
      </c>
      <c r="B11" s="45" t="inlineStr">
        <is>
          <t>Current</t>
        </is>
      </c>
      <c r="C11" s="45" t="inlineStr">
        <is>
          <t>Rate vs sent</t>
        </is>
      </c>
      <c r="D11" s="46" t="inlineStr">
        <is>
          <t>Conditional rate</t>
        </is>
      </c>
      <c r="E11" s="44" t="inlineStr">
        <is>
          <t>Stage</t>
        </is>
      </c>
      <c r="F11" s="46" t="inlineStr">
        <is>
          <t>Count</t>
        </is>
      </c>
      <c r="I11" s="44" t="inlineStr">
        <is>
          <t>Variant</t>
        </is>
      </c>
      <c r="J11" s="46" t="inlineStr">
        <is>
          <t>Count</t>
        </is>
      </c>
    </row>
    <row r="12">
      <c r="A12" s="62" t="inlineStr">
        <is>
          <t>Proposals sent</t>
        </is>
      </c>
      <c r="B12" s="405">
        <f>COUNT('Outreach Queue'!$S$6:$S$37)</f>
        <v/>
      </c>
      <c r="C12" s="406">
        <f>IFERROR(B12/$E$6,0)</f>
        <v/>
      </c>
      <c r="D12" s="406">
        <f>""</f>
        <v/>
      </c>
      <c r="E12" s="62" t="inlineStr">
        <is>
          <t>Not Sent</t>
        </is>
      </c>
      <c r="F12" s="405">
        <f>COUNTIF('Outreach Queue'!$C$6:$C$37,"Not Sent")</f>
        <v/>
      </c>
      <c r="I12" s="62" t="inlineStr">
        <is>
          <t>Landing Link - Sendable</t>
        </is>
      </c>
      <c r="J12" s="405">
        <f>COUNTIFS('Outreach Queue'!$A$6:$A$37,"Wave 1",'Outreach Queue'!$B$6:$B$37,"Landing Link",'Outreach Queue'!$AG$6:$AG$37,"&lt;&gt;Skip - Closed",'Outreach Queue'!$AH$6:$AH$37,"&lt;&gt;Closed")</f>
        <v/>
      </c>
    </row>
    <row r="13">
      <c r="A13" s="63" t="inlineStr">
        <is>
          <t>Page viewed</t>
        </is>
      </c>
      <c r="B13" s="407">
        <f>COUNTIF('Outreach Queue'!$T$6:$T$37,"Yes")</f>
        <v/>
      </c>
      <c r="C13" s="408">
        <f>IFERROR(B13/$B$12,0)</f>
        <v/>
      </c>
      <c r="D13" s="408">
        <f>IFERROR(B13/B12,0)</f>
        <v/>
      </c>
      <c r="E13" s="63" t="inlineStr">
        <is>
          <t>Sent</t>
        </is>
      </c>
      <c r="F13" s="407">
        <f>COUNTIF('Outreach Queue'!$C$6:$C$37,"Sent")</f>
        <v/>
      </c>
      <c r="I13" s="63" t="inlineStr">
        <is>
          <t>No-Link Diagnostic</t>
        </is>
      </c>
      <c r="J13" s="407">
        <f>COUNTIFS('Outreach Queue'!$A$6:$A$37,"Wave 1",'Outreach Queue'!$B$6:$B$37,"No-Link Diagnostic",'Outreach Queue'!$AG$6:$AG$37,"&lt;&gt;Skip - Closed",'Outreach Queue'!$AH$6:$AH$37,"&lt;&gt;Closed")</f>
        <v/>
      </c>
    </row>
    <row r="14">
      <c r="A14" s="63" t="inlineStr">
        <is>
          <t>Reply received</t>
        </is>
      </c>
      <c r="B14" s="407">
        <f>COUNT('Outreach Queue'!$U$6:$U$37)</f>
        <v/>
      </c>
      <c r="C14" s="408">
        <f>IFERROR(B14/$B$12,0)</f>
        <v/>
      </c>
      <c r="D14" s="408">
        <f>IFERROR(B14/B12,0)</f>
        <v/>
      </c>
      <c r="E14" s="63" t="inlineStr">
        <is>
          <t>Replied</t>
        </is>
      </c>
      <c r="F14" s="407">
        <f>COUNTIF('Outreach Queue'!$C$6:$C$37,"Replied")</f>
        <v/>
      </c>
      <c r="I14" s="63" t="inlineStr">
        <is>
          <t>Hold</t>
        </is>
      </c>
      <c r="J14" s="407">
        <f>COUNTIF('Outreach Queue'!$B$6:$B$37,"Hold")</f>
        <v/>
      </c>
    </row>
    <row r="15">
      <c r="A15" s="63" t="inlineStr">
        <is>
          <t>Qualified</t>
        </is>
      </c>
      <c r="B15" s="407">
        <f>COUNTIF('Outreach Queue'!$X$6:$X$37,"Qualified")</f>
        <v/>
      </c>
      <c r="C15" s="408">
        <f>IFERROR(B15/$B$12,0)</f>
        <v/>
      </c>
      <c r="D15" s="408">
        <f>IFERROR(B15/B14,0)</f>
        <v/>
      </c>
      <c r="E15" s="63" t="inlineStr">
        <is>
          <t>Qualified</t>
        </is>
      </c>
      <c r="F15" s="407">
        <f>COUNTIF('Outreach Queue'!$C$6:$C$37,"Qualified")</f>
        <v/>
      </c>
      <c r="I15" s="63" t="inlineStr">
        <is>
          <t>Design Partner Hold</t>
        </is>
      </c>
      <c r="J15" s="407">
        <f>COUNTIF('Outreach Queue'!$B$6:$B$37,"Design Partner Hold")</f>
        <v/>
      </c>
    </row>
    <row r="16">
      <c r="A16" s="63" t="inlineStr">
        <is>
          <t>Blueprint proposed</t>
        </is>
      </c>
      <c r="B16" s="407">
        <f>COUNTIFS('Outreach Queue'!$Y$6:$Y$37,"Blueprint",'Outreach Queue'!$Z$6:$Z$37,"&gt;0")</f>
        <v/>
      </c>
      <c r="C16" s="408">
        <f>IFERROR(B16/$B$12,0)</f>
        <v/>
      </c>
      <c r="D16" s="408">
        <f>IFERROR(B16/B15,0)</f>
        <v/>
      </c>
      <c r="E16" s="63" t="inlineStr">
        <is>
          <t>Blueprint Proposed</t>
        </is>
      </c>
      <c r="F16" s="407">
        <f>COUNTIF('Outreach Queue'!$C$6:$C$37,"Blueprint Proposed")</f>
        <v/>
      </c>
      <c r="I16" s="63" t="inlineStr">
        <is>
          <t>Skip - Closed</t>
        </is>
      </c>
      <c r="J16" s="407">
        <f>COUNTIF('Outreach Queue'!$AG$6:$AG$37,"Skip - Closed")</f>
        <v/>
      </c>
    </row>
    <row r="17">
      <c r="A17" s="63" t="inlineStr">
        <is>
          <t>Pilot proposed</t>
        </is>
      </c>
      <c r="B17" s="407">
        <f>COUNTIFS('Outreach Queue'!$Y$6:$Y$37,"Direct Pilot",'Outreach Queue'!$Z$6:$Z$37,"&gt;0")</f>
        <v/>
      </c>
      <c r="C17" s="408">
        <f>IFERROR(B17/$B$12,0)</f>
        <v/>
      </c>
      <c r="D17" s="408">
        <f>IFERROR(B17/B15,0)</f>
        <v/>
      </c>
      <c r="E17" s="63" t="inlineStr">
        <is>
          <t>Pilot Proposed</t>
        </is>
      </c>
      <c r="F17" s="407">
        <f>COUNTIF('Outreach Queue'!$C$6:$C$37,"Pilot Proposed")</f>
        <v/>
      </c>
    </row>
    <row r="18">
      <c r="A18" s="63" t="inlineStr">
        <is>
          <t>Funded milestone</t>
        </is>
      </c>
      <c r="B18" s="407">
        <f>COUNTIF('Outreach Queue'!$AA$6:$AA$37,"&gt;0")</f>
        <v/>
      </c>
      <c r="C18" s="408">
        <f>IFERROR(B18/$B$12,0)</f>
        <v/>
      </c>
      <c r="D18" s="408">
        <f>IFERROR(B18/B14,0)</f>
        <v/>
      </c>
      <c r="E18" s="63" t="inlineStr">
        <is>
          <t>Blueprint Funded</t>
        </is>
      </c>
      <c r="F18" s="407">
        <f>COUNTIF('Outreach Queue'!$C$6:$C$37,"Blueprint Funded")</f>
        <v/>
      </c>
    </row>
    <row r="19">
      <c r="A19" s="63" t="inlineStr">
        <is>
          <t>Won contract</t>
        </is>
      </c>
      <c r="B19" s="407">
        <f>COUNTIF('Outreach Queue'!$C$6:$C$37,"Won")</f>
        <v/>
      </c>
      <c r="C19" s="408">
        <f>IFERROR(B19/$B$12,0)</f>
        <v/>
      </c>
      <c r="D19" s="408">
        <f>IFERROR(B19/B18,0)</f>
        <v/>
      </c>
      <c r="E19" s="63" t="inlineStr">
        <is>
          <t>Pilot Funded</t>
        </is>
      </c>
      <c r="F19" s="407">
        <f>COUNTIF('Outreach Queue'!$C$6:$C$37,"Pilot Funded")</f>
        <v/>
      </c>
    </row>
    <row r="20">
      <c r="E20" s="63" t="inlineStr">
        <is>
          <t>Won</t>
        </is>
      </c>
      <c r="F20" s="407">
        <f>COUNTIF('Outreach Queue'!$C$6:$C$37,"Won")</f>
        <v/>
      </c>
    </row>
    <row r="21">
      <c r="E21" s="63" t="inlineStr">
        <is>
          <t>Lost</t>
        </is>
      </c>
      <c r="F21" s="407">
        <f>COUNTIF('Outreach Queue'!$C$6:$C$37,"Lost")</f>
        <v/>
      </c>
    </row>
    <row r="22">
      <c r="E22" s="63" t="inlineStr">
        <is>
          <t>Hold</t>
        </is>
      </c>
      <c r="F22" s="407">
        <f>COUNTIF('Outreach Queue'!$C$6:$C$37,"Hold")</f>
        <v/>
      </c>
    </row>
    <row r="24">
      <c r="A24" s="409">
        <f>"Live listing audit: "&amp;COUNTIF('Outreach Queue'!$AH$6:$AH$37,"Open")&amp;" open, "&amp;COUNTIF('Outreach Queue'!$AH$6:$AH$37,"Manual Check")&amp;" manual checks, "&amp;COUNTIF('Outreach Queue'!$AH$6:$AH$37,"Closed")&amp;" closed. Data integrity: "&amp;COUNTIF('Outreach Queue'!$AK$6:$AK$37,"WARN:*")&amp;" warnings. Voice Agents remains research and design-partner only."</f>
        <v/>
      </c>
      <c r="B24" s="410" t="n"/>
      <c r="C24" s="410" t="n"/>
      <c r="D24" s="410" t="n"/>
      <c r="E24" s="410" t="n"/>
      <c r="F24" s="410" t="n"/>
      <c r="G24" s="410" t="n"/>
      <c r="H24" s="410" t="n"/>
      <c r="I24" s="410" t="n"/>
      <c r="J24" s="410" t="n"/>
      <c r="K24" s="410" t="n"/>
      <c r="L24" s="411" t="n"/>
    </row>
    <row r="25">
      <c r="A25" s="412" t="n"/>
      <c r="B25" s="413" t="n"/>
      <c r="C25" s="413" t="n"/>
      <c r="D25" s="413" t="n"/>
      <c r="E25" s="413" t="n"/>
      <c r="F25" s="413" t="n"/>
      <c r="G25" s="413" t="n"/>
      <c r="H25" s="413" t="n"/>
      <c r="I25" s="413" t="n"/>
      <c r="J25" s="413" t="n"/>
      <c r="K25" s="413" t="n"/>
      <c r="L25" s="414" t="n"/>
    </row>
    <row r="27">
      <c r="A27" s="249" t="inlineStr">
        <is>
          <t>Wave 1 category commercial evidence</t>
        </is>
      </c>
      <c r="B27" s="1" t="n"/>
      <c r="C27" s="1" t="n"/>
      <c r="D27" s="1" t="n"/>
      <c r="E27" s="1" t="n"/>
      <c r="F27" s="1" t="n"/>
      <c r="G27" s="1" t="n"/>
      <c r="H27" s="1" t="n"/>
      <c r="I27" s="1" t="n"/>
      <c r="J27" s="1" t="n"/>
      <c r="K27" s="1" t="n"/>
      <c r="L27" s="1" t="n"/>
    </row>
    <row r="28">
      <c r="A28" s="44" t="inlineStr">
        <is>
          <t>Group</t>
        </is>
      </c>
      <c r="B28" s="45" t="inlineStr">
        <is>
          <t>Selected</t>
        </is>
      </c>
      <c r="C28" s="45" t="inlineStr">
        <is>
          <t>Sendable</t>
        </is>
      </c>
      <c r="D28" s="45" t="inlineStr">
        <is>
          <t>Sent</t>
        </is>
      </c>
      <c r="E28" s="45" t="inlineStr">
        <is>
          <t>Replied</t>
        </is>
      </c>
      <c r="F28" s="45" t="inlineStr">
        <is>
          <t>Qualified</t>
        </is>
      </c>
      <c r="G28" s="45" t="inlineStr">
        <is>
          <t>Blueprint offered</t>
        </is>
      </c>
      <c r="H28" s="45" t="inlineStr">
        <is>
          <t>Pilot offered</t>
        </is>
      </c>
      <c r="I28" s="45" t="inlineStr">
        <is>
          <t>Funded</t>
        </is>
      </c>
      <c r="J28" s="45" t="inlineStr">
        <is>
          <t>Won</t>
        </is>
      </c>
      <c r="K28" s="45" t="inlineStr">
        <is>
          <t>Selected avg</t>
        </is>
      </c>
      <c r="L28" s="46" t="inlineStr">
        <is>
          <t>Evidence status</t>
        </is>
      </c>
    </row>
    <row r="29">
      <c r="A29" s="62" t="inlineStr">
        <is>
          <t>Lead Response</t>
        </is>
      </c>
      <c r="B29" s="405">
        <f>COUNTIF('Outreach Queue'!$D$6:$D$37,"Lead Response")</f>
        <v/>
      </c>
      <c r="C29" s="405">
        <f>COUNTIFS('Outreach Queue'!$D$6:$D$37,"Lead Response",'Outreach Queue'!$A$6:$A$37,"Wave 1",'Outreach Queue'!$AG$6:$AG$37,"&lt;&gt;Skip - Closed",'Outreach Queue'!$AH$6:$AH$37,"&lt;&gt;Closed")</f>
        <v/>
      </c>
      <c r="D29" s="405">
        <f>COUNTIFS('Outreach Queue'!$D$6:$D$37,"Lead Response",'Outreach Queue'!$A$6:$A$37,"Wave 1",'Outreach Queue'!$AG$6:$AG$37,"&lt;&gt;Skip - Closed",'Outreach Queue'!$S$6:$S$37,"&lt;&gt;")</f>
        <v/>
      </c>
      <c r="E29" s="405">
        <f>COUNTIFS('Outreach Queue'!$D$6:$D$37,"Lead Response",'Outreach Queue'!$A$6:$A$37,"Wave 1",'Outreach Queue'!$AG$6:$AG$37,"&lt;&gt;Skip - Closed",'Outreach Queue'!$U$6:$U$37,"&lt;&gt;")</f>
        <v/>
      </c>
      <c r="F29" s="405">
        <f>COUNTIFS('Outreach Queue'!$D$6:$D$37,"Lead Response",'Outreach Queue'!$A$6:$A$37,"Wave 1",'Outreach Queue'!$AG$6:$AG$37,"&lt;&gt;Skip - Closed",'Outreach Queue'!$X$6:$X$37,"Qualified")</f>
        <v/>
      </c>
      <c r="G29" s="405">
        <f>COUNTIFS('Outreach Queue'!$D$6:$D$37,"Lead Response",'Outreach Queue'!$A$6:$A$37,"Wave 1",'Outreach Queue'!$AG$6:$AG$37,"&lt;&gt;Skip - Closed",'Outreach Queue'!$Y$6:$Y$37,"Blueprint",'Outreach Queue'!$Z$6:$Z$37,"&gt;0")</f>
        <v/>
      </c>
      <c r="H29" s="405">
        <f>COUNTIFS('Outreach Queue'!$D$6:$D$37,"Lead Response",'Outreach Queue'!$A$6:$A$37,"Wave 1",'Outreach Queue'!$AG$6:$AG$37,"&lt;&gt;Skip - Closed",'Outreach Queue'!$Y$6:$Y$37,"Direct Pilot",'Outreach Queue'!$Z$6:$Z$37,"&gt;0")</f>
        <v/>
      </c>
      <c r="I29" s="405">
        <f>COUNTIFS('Outreach Queue'!$D$6:$D$37,"Lead Response",'Outreach Queue'!$A$6:$A$37,"Wave 1",'Outreach Queue'!$AG$6:$AG$37,"&lt;&gt;Skip - Closed",'Outreach Queue'!$AA$6:$AA$37,"&gt;0")</f>
        <v/>
      </c>
      <c r="J29" s="405">
        <f>COUNTIFS('Outreach Queue'!$D$6:$D$37,"Lead Response",'Outreach Queue'!$A$6:$A$37,"Wave 1",'Outreach Queue'!$AG$6:$AG$37,"&lt;&gt;Skip - Closed",'Outreach Queue'!$C$6:$C$37,"Won")</f>
        <v/>
      </c>
      <c r="K29" s="415">
        <f>IFERROR(AVERAGEIF('Outreach Queue'!$D$6:$D$37,"Lead Response",'Outreach Queue'!$G$6:$G$37),0)</f>
        <v/>
      </c>
      <c r="L29" s="286">
        <f>IF(OR(I29&gt;=1,F29&gt;=2),"Promising - replicate","Unproven")</f>
        <v/>
      </c>
    </row>
    <row r="30">
      <c r="A30" s="63" t="inlineStr">
        <is>
          <t>Client Inbox</t>
        </is>
      </c>
      <c r="B30" s="407">
        <f>COUNTIF('Outreach Queue'!$D$6:$D$37,"Client Inbox")</f>
        <v/>
      </c>
      <c r="C30" s="407">
        <f>COUNTIFS('Outreach Queue'!$D$6:$D$37,"Client Inbox",'Outreach Queue'!$A$6:$A$37,"Wave 1",'Outreach Queue'!$AG$6:$AG$37,"&lt;&gt;Skip - Closed",'Outreach Queue'!$AH$6:$AH$37,"&lt;&gt;Closed")</f>
        <v/>
      </c>
      <c r="D30" s="407">
        <f>COUNTIFS('Outreach Queue'!$D$6:$D$37,"Client Inbox",'Outreach Queue'!$A$6:$A$37,"Wave 1",'Outreach Queue'!$AG$6:$AG$37,"&lt;&gt;Skip - Closed",'Outreach Queue'!$S$6:$S$37,"&lt;&gt;")</f>
        <v/>
      </c>
      <c r="E30" s="407">
        <f>COUNTIFS('Outreach Queue'!$D$6:$D$37,"Client Inbox",'Outreach Queue'!$A$6:$A$37,"Wave 1",'Outreach Queue'!$AG$6:$AG$37,"&lt;&gt;Skip - Closed",'Outreach Queue'!$U$6:$U$37,"&lt;&gt;")</f>
        <v/>
      </c>
      <c r="F30" s="407">
        <f>COUNTIFS('Outreach Queue'!$D$6:$D$37,"Client Inbox",'Outreach Queue'!$A$6:$A$37,"Wave 1",'Outreach Queue'!$AG$6:$AG$37,"&lt;&gt;Skip - Closed",'Outreach Queue'!$X$6:$X$37,"Qualified")</f>
        <v/>
      </c>
      <c r="G30" s="407">
        <f>COUNTIFS('Outreach Queue'!$D$6:$D$37,"Client Inbox",'Outreach Queue'!$A$6:$A$37,"Wave 1",'Outreach Queue'!$AG$6:$AG$37,"&lt;&gt;Skip - Closed",'Outreach Queue'!$Y$6:$Y$37,"Blueprint",'Outreach Queue'!$Z$6:$Z$37,"&gt;0")</f>
        <v/>
      </c>
      <c r="H30" s="407">
        <f>COUNTIFS('Outreach Queue'!$D$6:$D$37,"Client Inbox",'Outreach Queue'!$A$6:$A$37,"Wave 1",'Outreach Queue'!$AG$6:$AG$37,"&lt;&gt;Skip - Closed",'Outreach Queue'!$Y$6:$Y$37,"Direct Pilot",'Outreach Queue'!$Z$6:$Z$37,"&gt;0")</f>
        <v/>
      </c>
      <c r="I30" s="407">
        <f>COUNTIFS('Outreach Queue'!$D$6:$D$37,"Client Inbox",'Outreach Queue'!$A$6:$A$37,"Wave 1",'Outreach Queue'!$AG$6:$AG$37,"&lt;&gt;Skip - Closed",'Outreach Queue'!$AA$6:$AA$37,"&gt;0")</f>
        <v/>
      </c>
      <c r="J30" s="407">
        <f>COUNTIFS('Outreach Queue'!$D$6:$D$37,"Client Inbox",'Outreach Queue'!$A$6:$A$37,"Wave 1",'Outreach Queue'!$AG$6:$AG$37,"&lt;&gt;Skip - Closed",'Outreach Queue'!$C$6:$C$37,"Won")</f>
        <v/>
      </c>
      <c r="K30" s="416">
        <f>IFERROR(AVERAGEIF('Outreach Queue'!$D$6:$D$37,"Client Inbox",'Outreach Queue'!$G$6:$G$37),0)</f>
        <v/>
      </c>
      <c r="L30" s="287">
        <f>IF(OR(I30&gt;=1,F30&gt;=2),"Promising - replicate","Unproven")</f>
        <v/>
      </c>
    </row>
    <row r="31">
      <c r="A31" s="63" t="inlineStr">
        <is>
          <t>Operations &amp; Documents</t>
        </is>
      </c>
      <c r="B31" s="407">
        <f>COUNTIF('Outreach Queue'!$D$6:$D$37,"Operations &amp; Documents")</f>
        <v/>
      </c>
      <c r="C31" s="407">
        <f>COUNTIFS('Outreach Queue'!$D$6:$D$37,"Operations &amp; Documents",'Outreach Queue'!$A$6:$A$37,"Wave 1",'Outreach Queue'!$AG$6:$AG$37,"&lt;&gt;Skip - Closed",'Outreach Queue'!$AH$6:$AH$37,"&lt;&gt;Closed")</f>
        <v/>
      </c>
      <c r="D31" s="407">
        <f>COUNTIFS('Outreach Queue'!$D$6:$D$37,"Operations &amp; Documents",'Outreach Queue'!$A$6:$A$37,"Wave 1",'Outreach Queue'!$AG$6:$AG$37,"&lt;&gt;Skip - Closed",'Outreach Queue'!$S$6:$S$37,"&lt;&gt;")</f>
        <v/>
      </c>
      <c r="E31" s="407">
        <f>COUNTIFS('Outreach Queue'!$D$6:$D$37,"Operations &amp; Documents",'Outreach Queue'!$A$6:$A$37,"Wave 1",'Outreach Queue'!$AG$6:$AG$37,"&lt;&gt;Skip - Closed",'Outreach Queue'!$U$6:$U$37,"&lt;&gt;")</f>
        <v/>
      </c>
      <c r="F31" s="407">
        <f>COUNTIFS('Outreach Queue'!$D$6:$D$37,"Operations &amp; Documents",'Outreach Queue'!$A$6:$A$37,"Wave 1",'Outreach Queue'!$AG$6:$AG$37,"&lt;&gt;Skip - Closed",'Outreach Queue'!$X$6:$X$37,"Qualified")</f>
        <v/>
      </c>
      <c r="G31" s="407">
        <f>COUNTIFS('Outreach Queue'!$D$6:$D$37,"Operations &amp; Documents",'Outreach Queue'!$A$6:$A$37,"Wave 1",'Outreach Queue'!$AG$6:$AG$37,"&lt;&gt;Skip - Closed",'Outreach Queue'!$Y$6:$Y$37,"Blueprint",'Outreach Queue'!$Z$6:$Z$37,"&gt;0")</f>
        <v/>
      </c>
      <c r="H31" s="407">
        <f>COUNTIFS('Outreach Queue'!$D$6:$D$37,"Operations &amp; Documents",'Outreach Queue'!$A$6:$A$37,"Wave 1",'Outreach Queue'!$AG$6:$AG$37,"&lt;&gt;Skip - Closed",'Outreach Queue'!$Y$6:$Y$37,"Direct Pilot",'Outreach Queue'!$Z$6:$Z$37,"&gt;0")</f>
        <v/>
      </c>
      <c r="I31" s="407">
        <f>COUNTIFS('Outreach Queue'!$D$6:$D$37,"Operations &amp; Documents",'Outreach Queue'!$A$6:$A$37,"Wave 1",'Outreach Queue'!$AG$6:$AG$37,"&lt;&gt;Skip - Closed",'Outreach Queue'!$AA$6:$AA$37,"&gt;0")</f>
        <v/>
      </c>
      <c r="J31" s="407">
        <f>COUNTIFS('Outreach Queue'!$D$6:$D$37,"Operations &amp; Documents",'Outreach Queue'!$A$6:$A$37,"Wave 1",'Outreach Queue'!$AG$6:$AG$37,"&lt;&gt;Skip - Closed",'Outreach Queue'!$C$6:$C$37,"Won")</f>
        <v/>
      </c>
      <c r="K31" s="416">
        <f>IFERROR(AVERAGEIF('Outreach Queue'!$D$6:$D$37,"Operations &amp; Documents",'Outreach Queue'!$G$6:$G$37),0)</f>
        <v/>
      </c>
      <c r="L31" s="287">
        <f>IF(OR(I31&gt;=1,F31&gt;=2),"Promising - replicate","Unproven")</f>
        <v/>
      </c>
    </row>
    <row r="32">
      <c r="A32" s="63" t="inlineStr">
        <is>
          <t>Internal Knowledge Assistant</t>
        </is>
      </c>
      <c r="B32" s="407">
        <f>COUNTIF('Outreach Queue'!$D$6:$D$37,"Internal Knowledge Assistant")</f>
        <v/>
      </c>
      <c r="C32" s="407">
        <f>COUNTIFS('Outreach Queue'!$D$6:$D$37,"Internal Knowledge Assistant",'Outreach Queue'!$A$6:$A$37,"Wave 1",'Outreach Queue'!$AG$6:$AG$37,"&lt;&gt;Skip - Closed",'Outreach Queue'!$AH$6:$AH$37,"&lt;&gt;Closed")</f>
        <v/>
      </c>
      <c r="D32" s="407">
        <f>COUNTIFS('Outreach Queue'!$D$6:$D$37,"Internal Knowledge Assistant",'Outreach Queue'!$A$6:$A$37,"Wave 1",'Outreach Queue'!$AG$6:$AG$37,"&lt;&gt;Skip - Closed",'Outreach Queue'!$S$6:$S$37,"&lt;&gt;")</f>
        <v/>
      </c>
      <c r="E32" s="407">
        <f>COUNTIFS('Outreach Queue'!$D$6:$D$37,"Internal Knowledge Assistant",'Outreach Queue'!$A$6:$A$37,"Wave 1",'Outreach Queue'!$AG$6:$AG$37,"&lt;&gt;Skip - Closed",'Outreach Queue'!$U$6:$U$37,"&lt;&gt;")</f>
        <v/>
      </c>
      <c r="F32" s="407">
        <f>COUNTIFS('Outreach Queue'!$D$6:$D$37,"Internal Knowledge Assistant",'Outreach Queue'!$A$6:$A$37,"Wave 1",'Outreach Queue'!$AG$6:$AG$37,"&lt;&gt;Skip - Closed",'Outreach Queue'!$X$6:$X$37,"Qualified")</f>
        <v/>
      </c>
      <c r="G32" s="407">
        <f>COUNTIFS('Outreach Queue'!$D$6:$D$37,"Internal Knowledge Assistant",'Outreach Queue'!$A$6:$A$37,"Wave 1",'Outreach Queue'!$AG$6:$AG$37,"&lt;&gt;Skip - Closed",'Outreach Queue'!$Y$6:$Y$37,"Blueprint",'Outreach Queue'!$Z$6:$Z$37,"&gt;0")</f>
        <v/>
      </c>
      <c r="H32" s="407">
        <f>COUNTIFS('Outreach Queue'!$D$6:$D$37,"Internal Knowledge Assistant",'Outreach Queue'!$A$6:$A$37,"Wave 1",'Outreach Queue'!$AG$6:$AG$37,"&lt;&gt;Skip - Closed",'Outreach Queue'!$Y$6:$Y$37,"Direct Pilot",'Outreach Queue'!$Z$6:$Z$37,"&gt;0")</f>
        <v/>
      </c>
      <c r="I32" s="407">
        <f>COUNTIFS('Outreach Queue'!$D$6:$D$37,"Internal Knowledge Assistant",'Outreach Queue'!$A$6:$A$37,"Wave 1",'Outreach Queue'!$AG$6:$AG$37,"&lt;&gt;Skip - Closed",'Outreach Queue'!$AA$6:$AA$37,"&gt;0")</f>
        <v/>
      </c>
      <c r="J32" s="407">
        <f>COUNTIFS('Outreach Queue'!$D$6:$D$37,"Internal Knowledge Assistant",'Outreach Queue'!$A$6:$A$37,"Wave 1",'Outreach Queue'!$AG$6:$AG$37,"&lt;&gt;Skip - Closed",'Outreach Queue'!$C$6:$C$37,"Won")</f>
        <v/>
      </c>
      <c r="K32" s="416">
        <f>IFERROR(AVERAGEIF('Outreach Queue'!$D$6:$D$37,"Internal Knowledge Assistant",'Outreach Queue'!$G$6:$G$37),0)</f>
        <v/>
      </c>
      <c r="L32" s="287">
        <f>IF(OR(I32&gt;=1,F32&gt;=2),"Promising - replicate","Unproven")</f>
        <v/>
      </c>
    </row>
    <row r="33">
      <c r="A33" s="63" t="inlineStr">
        <is>
          <t>Voice Agents</t>
        </is>
      </c>
      <c r="B33" s="407">
        <f>COUNTIF('Outreach Queue'!$D$6:$D$37,"Voice Agents")</f>
        <v/>
      </c>
      <c r="C33" s="407">
        <f>COUNTIFS('Outreach Queue'!$D$6:$D$37,"Voice Agents",'Outreach Queue'!$A$6:$A$37,"Wave 1",'Outreach Queue'!$AG$6:$AG$37,"&lt;&gt;Skip - Closed",'Outreach Queue'!$AH$6:$AH$37,"&lt;&gt;Closed")</f>
        <v/>
      </c>
      <c r="D33" s="407">
        <f>COUNTIFS('Outreach Queue'!$D$6:$D$37,"Voice Agents",'Outreach Queue'!$A$6:$A$37,"Wave 1",'Outreach Queue'!$AG$6:$AG$37,"&lt;&gt;Skip - Closed",'Outreach Queue'!$S$6:$S$37,"&lt;&gt;")</f>
        <v/>
      </c>
      <c r="E33" s="407">
        <f>COUNTIFS('Outreach Queue'!$D$6:$D$37,"Voice Agents",'Outreach Queue'!$A$6:$A$37,"Wave 1",'Outreach Queue'!$AG$6:$AG$37,"&lt;&gt;Skip - Closed",'Outreach Queue'!$U$6:$U$37,"&lt;&gt;")</f>
        <v/>
      </c>
      <c r="F33" s="407">
        <f>COUNTIFS('Outreach Queue'!$D$6:$D$37,"Voice Agents",'Outreach Queue'!$A$6:$A$37,"Wave 1",'Outreach Queue'!$AG$6:$AG$37,"&lt;&gt;Skip - Closed",'Outreach Queue'!$X$6:$X$37,"Qualified")</f>
        <v/>
      </c>
      <c r="G33" s="407">
        <f>COUNTIFS('Outreach Queue'!$D$6:$D$37,"Voice Agents",'Outreach Queue'!$A$6:$A$37,"Wave 1",'Outreach Queue'!$AG$6:$AG$37,"&lt;&gt;Skip - Closed",'Outreach Queue'!$Y$6:$Y$37,"Blueprint",'Outreach Queue'!$Z$6:$Z$37,"&gt;0")</f>
        <v/>
      </c>
      <c r="H33" s="407">
        <f>COUNTIFS('Outreach Queue'!$D$6:$D$37,"Voice Agents",'Outreach Queue'!$A$6:$A$37,"Wave 1",'Outreach Queue'!$AG$6:$AG$37,"&lt;&gt;Skip - Closed",'Outreach Queue'!$Y$6:$Y$37,"Direct Pilot",'Outreach Queue'!$Z$6:$Z$37,"&gt;0")</f>
        <v/>
      </c>
      <c r="I33" s="407">
        <f>COUNTIFS('Outreach Queue'!$D$6:$D$37,"Voice Agents",'Outreach Queue'!$A$6:$A$37,"Wave 1",'Outreach Queue'!$AG$6:$AG$37,"&lt;&gt;Skip - Closed",'Outreach Queue'!$AA$6:$AA$37,"&gt;0")</f>
        <v/>
      </c>
      <c r="J33" s="407">
        <f>COUNTIFS('Outreach Queue'!$D$6:$D$37,"Voice Agents",'Outreach Queue'!$A$6:$A$37,"Wave 1",'Outreach Queue'!$AG$6:$AG$37,"&lt;&gt;Skip - Closed",'Outreach Queue'!$C$6:$C$37,"Won")</f>
        <v/>
      </c>
      <c r="K33" s="416">
        <f>IFERROR(AVERAGEIF('Outreach Queue'!$D$6:$D$37,"Voice Agents",'Outreach Queue'!$G$6:$G$37),0)</f>
        <v/>
      </c>
      <c r="L33" s="287">
        <f>IF(OR(I33&gt;=1,F33&gt;=2),"Promising - replicate","Unproven")</f>
        <v/>
      </c>
    </row>
    <row r="36">
      <c r="A36" s="417" t="inlineStr">
        <is>
          <t>Learning-wave rule
Send only to matching listings. Use the non-personal ref tag on linked rows and omit it on no-link diagnostics. Vercel Analytics records linked page views under a virtual _ref path so a verified view can be mapped back to this workbook without exposing buyer details. Wave 1 is not randomized or powered for causal lift. Rate vs sent uses the current non-closed Wave 1 maximum shown above as its planning denominator; conditional rates use observed funnel events. Two qualified replies or one funded milestone marks a category as promising, not proven. Replication and positive delivery economics are required before productizing.</t>
        </is>
      </c>
      <c r="B36" s="418" t="n"/>
      <c r="C36" s="418" t="n"/>
      <c r="D36" s="418" t="n"/>
      <c r="E36" s="418" t="n"/>
      <c r="F36" s="418" t="n"/>
      <c r="G36" s="418" t="n"/>
      <c r="H36" s="418" t="n"/>
      <c r="I36" s="418" t="n"/>
      <c r="J36" s="418" t="n"/>
      <c r="K36" s="418" t="n"/>
      <c r="L36" s="401" t="n"/>
    </row>
    <row r="37">
      <c r="A37" s="419" t="n"/>
      <c r="L37" s="420" t="n"/>
    </row>
    <row r="38">
      <c r="A38" s="419" t="n"/>
      <c r="L38" s="420" t="n"/>
    </row>
    <row r="39">
      <c r="A39" s="419" t="n"/>
      <c r="L39" s="420" t="n"/>
    </row>
    <row r="40">
      <c r="A40" s="419" t="n"/>
      <c r="L40" s="420" t="n"/>
    </row>
    <row r="41">
      <c r="A41" s="421" t="n"/>
      <c r="B41" s="422" t="n"/>
      <c r="C41" s="422" t="n"/>
      <c r="D41" s="422" t="n"/>
      <c r="E41" s="422" t="n"/>
      <c r="F41" s="422" t="n"/>
      <c r="G41" s="422" t="n"/>
      <c r="H41" s="422" t="n"/>
      <c r="I41" s="422" t="n"/>
      <c r="J41" s="422" t="n"/>
      <c r="K41" s="422" t="n"/>
      <c r="L41" s="404" t="n"/>
    </row>
  </sheetData>
  <mergeCells count="20">
    <mergeCell ref="E10:G10"/>
    <mergeCell ref="C5:D5"/>
    <mergeCell ref="E5:F5"/>
    <mergeCell ref="K5:L5"/>
    <mergeCell ref="I10:L10"/>
    <mergeCell ref="A27:L27"/>
    <mergeCell ref="A3:L3"/>
    <mergeCell ref="A10:D10"/>
    <mergeCell ref="A7:B7"/>
    <mergeCell ref="G7:H7"/>
    <mergeCell ref="I7:J7"/>
    <mergeCell ref="A1:L2"/>
    <mergeCell ref="A24:L25"/>
    <mergeCell ref="A5:B5"/>
    <mergeCell ref="G5:H5"/>
    <mergeCell ref="A36:L41"/>
    <mergeCell ref="I5:J5"/>
    <mergeCell ref="K7:L7"/>
    <mergeCell ref="C7:D7"/>
    <mergeCell ref="E7:F7"/>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15"/>
  <sheetViews>
    <sheetView showGridLines="0" workbookViewId="0">
      <selection activeCell="A1" sqref="A1"/>
    </sheetView>
  </sheetViews>
  <sheetFormatPr baseColWidth="8" defaultRowHeight="15"/>
  <cols>
    <col width="7.78000020980835" customWidth="1" min="1" max="1"/>
    <col width="18.88999938964844" customWidth="1" min="2" max="2"/>
    <col width="20.55999946594238" customWidth="1" min="3" max="3"/>
    <col width="28.88999938964844" customWidth="1" min="4" max="4"/>
    <col width="38.88999938964844" customWidth="1" min="5" max="5"/>
    <col width="9.560000419616699" customWidth="1" min="6" max="6"/>
    <col width="8.439999580383301" customWidth="1" min="7" max="7"/>
    <col width="10.22000026702881" customWidth="1" min="8" max="8"/>
    <col width="11.10999965667725" customWidth="1" min="9" max="9"/>
    <col width="8.439999580383301" customWidth="1" min="10" max="10"/>
    <col width="32.22000122070312" customWidth="1" min="11" max="11"/>
    <col width="33.33000183105469" customWidth="1" min="12" max="12"/>
    <col width="35.56000137329102" customWidth="1" min="13" max="13"/>
    <col width="30" customWidth="1" min="14" max="14"/>
  </cols>
  <sheetData>
    <row r="1" ht="24" customHeight="1">
      <c r="A1" s="9" t="inlineStr">
        <is>
          <t>Category presale learning wave</t>
        </is>
      </c>
      <c r="B1" s="1" t="n"/>
      <c r="C1" s="1" t="n"/>
      <c r="D1" s="1" t="n"/>
      <c r="E1" s="1" t="n"/>
      <c r="F1" s="1" t="n"/>
      <c r="G1" s="1" t="n"/>
      <c r="H1" s="1" t="n"/>
      <c r="I1" s="1" t="n"/>
      <c r="J1" s="1" t="n"/>
      <c r="K1" s="1" t="n"/>
      <c r="L1" s="1" t="n"/>
      <c r="M1" s="1" t="n"/>
      <c r="N1" s="1" t="n"/>
    </row>
    <row r="2" ht="24" customHeight="1">
      <c r="A2" s="1" t="n"/>
      <c r="B2" s="1" t="n"/>
      <c r="C2" s="1" t="n"/>
      <c r="D2" s="1" t="n"/>
      <c r="E2" s="1" t="n"/>
      <c r="F2" s="1" t="n"/>
      <c r="G2" s="1" t="n"/>
      <c r="H2" s="1" t="n"/>
      <c r="I2" s="1" t="n"/>
      <c r="J2" s="1" t="n"/>
      <c r="K2" s="1" t="n"/>
      <c r="L2" s="1" t="n"/>
      <c r="M2" s="1" t="n"/>
      <c r="N2" s="1" t="n"/>
    </row>
    <row r="3" ht="24" customHeight="1">
      <c r="A3" s="17" t="inlineStr">
        <is>
          <t>Each page sells one defined pilot before the full product exists. Wave 1 learns offer fit and can prove category viability, but its four no-link rows cannot estimate landing-page lift.</t>
        </is>
      </c>
      <c r="B3" s="1" t="n"/>
      <c r="C3" s="1" t="n"/>
      <c r="D3" s="1" t="n"/>
      <c r="E3" s="1" t="n"/>
      <c r="F3" s="1" t="n"/>
      <c r="G3" s="1" t="n"/>
      <c r="H3" s="1" t="n"/>
      <c r="I3" s="1" t="n"/>
      <c r="J3" s="1" t="n"/>
      <c r="K3" s="1" t="n"/>
      <c r="L3" s="1" t="n"/>
      <c r="M3" s="1" t="n"/>
      <c r="N3" s="1" t="n"/>
    </row>
    <row r="5" ht="31.5" customHeight="1">
      <c r="A5" s="44" t="inlineStr">
        <is>
          <t>Priority</t>
        </is>
      </c>
      <c r="B5" s="45" t="inlineStr">
        <is>
          <t>Group</t>
        </is>
      </c>
      <c r="C5" s="45" t="inlineStr">
        <is>
          <t>Honest Offer</t>
        </is>
      </c>
      <c r="D5" s="45" t="inlineStr">
        <is>
          <t>Hero</t>
        </is>
      </c>
      <c r="E5" s="45" t="inlineStr">
        <is>
          <t>Pilot Boundary</t>
        </is>
      </c>
      <c r="F5" s="45" t="inlineStr">
        <is>
          <t>Target Count</t>
        </is>
      </c>
      <c r="G5" s="45" t="inlineStr">
        <is>
          <t>Wave 1</t>
        </is>
      </c>
      <c r="H5" s="45" t="inlineStr">
        <is>
          <t>Landing Link</t>
        </is>
      </c>
      <c r="I5" s="45" t="inlineStr">
        <is>
          <t>No-Link Diagnostic</t>
        </is>
      </c>
      <c r="J5" s="45" t="inlineStr">
        <is>
          <t>Hold</t>
        </is>
      </c>
      <c r="K5" s="45" t="inlineStr">
        <is>
          <t>Landing URL</t>
        </is>
      </c>
      <c r="L5" s="45" t="inlineStr">
        <is>
          <t>Success Metrics</t>
        </is>
      </c>
      <c r="M5" s="45" t="inlineStr">
        <is>
          <t>Platform CTA</t>
        </is>
      </c>
      <c r="N5" s="46" t="inlineStr">
        <is>
          <t>Holdout Rule</t>
        </is>
      </c>
    </row>
    <row r="6" ht="84" customHeight="1">
      <c r="A6" s="423" t="n">
        <v>1</v>
      </c>
      <c r="B6" s="62" t="inlineStr">
        <is>
          <t>Lead Response</t>
        </is>
      </c>
      <c r="C6" s="62" t="inlineStr">
        <is>
          <t>Packaged lead-response pilot</t>
        </is>
      </c>
      <c r="D6" s="62" t="inlineStr">
        <is>
          <t>Stop losing qualified leads between the first message and the CRM.</t>
        </is>
      </c>
      <c r="E6" s="62" t="inlineStr">
        <is>
          <t>One or two inbound channels; one CRM; one qualification policy; one booking or follow-up route; one human escalation queue; dedupe, do-not-contact logic, logs, and approval for sensitive actions.</t>
        </is>
      </c>
      <c r="F6" s="424">
        <f>COUNTIF('Outreach Queue'!$D$6:$D$37,"Lead Response")</f>
        <v/>
      </c>
      <c r="G6" s="424">
        <f>COUNTIFS('Outreach Queue'!$D$6:$D$37,"Lead Response",'Outreach Queue'!$A$6:$A$37,"Wave 1")</f>
        <v/>
      </c>
      <c r="H6" s="424">
        <f>COUNTIFS('Outreach Queue'!$D$6:$D$37,"Lead Response",'Outreach Queue'!$B$6:$B$37,"Landing Link")</f>
        <v/>
      </c>
      <c r="I6" s="424">
        <f>COUNTIFS('Outreach Queue'!$D$6:$D$37,"Lead Response",'Outreach Queue'!$B$6:$B$37,"No-Link Diagnostic")</f>
        <v/>
      </c>
      <c r="J6" s="424">
        <f>COUNTIFS('Outreach Queue'!$D$6:$D$37,"Lead Response",'Outreach Queue'!$C$6:$C$37,"Hold")</f>
        <v/>
      </c>
      <c r="K6" s="62" t="inlineStr">
        <is>
          <t>https://dali.agents.ge/solutions/lead-response</t>
        </is>
      </c>
      <c r="L6" s="62" t="inlineStr">
        <is>
          <t>Median first-response time; complete CRM fields; qualified-to-booked conversion; scheduled follow-ups; escalation rate and reasons.</t>
        </is>
      </c>
      <c r="M6" s="62" t="inlineStr">
        <is>
          <t>Upwork: reply in the Upwork thread with CRM and primary intake channel. FL.ru: respond in the project thread with the same two inputs.</t>
        </is>
      </c>
      <c r="N6" s="62" t="inlineStr">
        <is>
          <t>Use eight Wave 1 rows, including one no-link diagnostic. Hold the two weakest or least economical rows.</t>
        </is>
      </c>
    </row>
    <row r="7" ht="84" customHeight="1">
      <c r="A7" s="425" t="n">
        <v>2</v>
      </c>
      <c r="B7" s="63" t="inlineStr">
        <is>
          <t>Client Inbox</t>
        </is>
      </c>
      <c r="C7" s="63" t="inlineStr">
        <is>
          <t>Packaged client-inbox pilot</t>
        </is>
      </c>
      <c r="D7" s="63" t="inlineStr">
        <is>
          <t>Turn the shared inbox into one controlled customer-response workflow.</t>
        </is>
      </c>
      <c r="E7" s="63" t="inlineStr">
        <is>
          <t>One customer channel or tightly related channel pair; one approved answer and action policy; one CRM or case-history destination; one knowledge or file source set; one human escalation queue; logs, permissions, and approval for sensitive actions or media.</t>
        </is>
      </c>
      <c r="F7" s="426">
        <f>COUNTIF('Outreach Queue'!$D$6:$D$37,"Client Inbox")</f>
        <v/>
      </c>
      <c r="G7" s="426">
        <f>COUNTIFS('Outreach Queue'!$D$6:$D$37,"Client Inbox",'Outreach Queue'!$A$6:$A$37,"Wave 1")</f>
        <v/>
      </c>
      <c r="H7" s="426">
        <f>COUNTIFS('Outreach Queue'!$D$6:$D$37,"Client Inbox",'Outreach Queue'!$B$6:$B$37,"Landing Link")</f>
        <v/>
      </c>
      <c r="I7" s="426">
        <f>COUNTIFS('Outreach Queue'!$D$6:$D$37,"Client Inbox",'Outreach Queue'!$B$6:$B$37,"No-Link Diagnostic")</f>
        <v/>
      </c>
      <c r="J7" s="426">
        <f>COUNTIFS('Outreach Queue'!$D$6:$D$37,"Client Inbox",'Outreach Queue'!$C$6:$C$37,"Hold")</f>
        <v/>
      </c>
      <c r="K7" s="63" t="inlineStr">
        <is>
          <t>https://dali.agents.ge/solutions/client-inbox</t>
        </is>
      </c>
      <c r="L7" s="63" t="inlineStr">
        <is>
          <t>Time to first useful response; replayed-thread acceptance; CRM or case-history write success; correct escalation; unsupported answers and unauthorized actions.</t>
        </is>
      </c>
      <c r="M7" s="63" t="inlineStr">
        <is>
          <t>Upwork: reply in the Upwork thread with the primary channel, CRM, and one representative thread. FL.ru: respond in the project thread with the same inputs and always-human actions.</t>
        </is>
      </c>
      <c r="N7" s="63" t="inlineStr">
        <is>
          <t>Use six Wave 1 rows, including one no-link diagnostic. Hold the weakest under-specified support brief.</t>
        </is>
      </c>
    </row>
    <row r="8" ht="84" customHeight="1">
      <c r="A8" s="425" t="n">
        <v>3</v>
      </c>
      <c r="B8" s="63" t="inlineStr">
        <is>
          <t>Operations &amp; Documents</t>
        </is>
      </c>
      <c r="C8" s="63" t="inlineStr">
        <is>
          <t>Packaged operations workflow pilot</t>
        </is>
      </c>
      <c r="D8" s="63" t="inlineStr">
        <is>
          <t>Turn operational documents into checked actions, not another inbox backlog.</t>
        </is>
      </c>
      <c r="E8" s="63" t="inlineStr">
        <is>
          <t>One intake source; one extraction schema; one destination system; one approval rule; one exception queue; idempotency, retries, deduplication, and an audit trail.</t>
        </is>
      </c>
      <c r="F8" s="426">
        <f>COUNTIF('Outreach Queue'!$D$6:$D$37,"Operations &amp; Documents")</f>
        <v/>
      </c>
      <c r="G8" s="426">
        <f>COUNTIFS('Outreach Queue'!$D$6:$D$37,"Operations &amp; Documents",'Outreach Queue'!$A$6:$A$37,"Wave 1")</f>
        <v/>
      </c>
      <c r="H8" s="426">
        <f>COUNTIFS('Outreach Queue'!$D$6:$D$37,"Operations &amp; Documents",'Outreach Queue'!$B$6:$B$37,"Landing Link")</f>
        <v/>
      </c>
      <c r="I8" s="426">
        <f>COUNTIFS('Outreach Queue'!$D$6:$D$37,"Operations &amp; Documents",'Outreach Queue'!$B$6:$B$37,"No-Link Diagnostic")</f>
        <v/>
      </c>
      <c r="J8" s="426">
        <f>COUNTIFS('Outreach Queue'!$D$6:$D$37,"Operations &amp; Documents",'Outreach Queue'!$C$6:$C$37,"Hold")</f>
        <v/>
      </c>
      <c r="K8" s="63" t="inlineStr">
        <is>
          <t>https://dali.agents.ge/solutions/operations-docs</t>
        </is>
      </c>
      <c r="L8" s="63" t="inlineStr">
        <is>
          <t>Inputs parsed without correction; exception rate; duplicate action rate; time to approved update; manual checking hours removed.</t>
        </is>
      </c>
      <c r="M8" s="63" t="inlineStr">
        <is>
          <t>Upwork: reply in the Upwork thread with one representative input and the target system. FL.ru: respond in the project thread with the same two inputs.</t>
        </is>
      </c>
      <c r="N8" s="63" t="inlineStr">
        <is>
          <t>Use six Wave 1 rows, including one no-link diagnostic. Hold the two weakest delivery or economics risks.</t>
        </is>
      </c>
    </row>
    <row r="9" ht="84" customHeight="1">
      <c r="A9" s="425" t="n">
        <v>4</v>
      </c>
      <c r="B9" s="63" t="inlineStr">
        <is>
          <t>Internal Knowledge Assistant</t>
        </is>
      </c>
      <c r="C9" s="63" t="inlineStr">
        <is>
          <t>Grounded knowledge-assistant pilot</t>
        </is>
      </c>
      <c r="D9" s="63" t="inlineStr">
        <is>
          <t>Give the team answers it can verify.</t>
        </is>
      </c>
      <c r="E9" s="63" t="inlineStr">
        <is>
          <t>One team or source bundle; one permission model; one answer surface; citations; refusal on missing evidence; retrieval logs; a review set of real questions.</t>
        </is>
      </c>
      <c r="F9" s="426">
        <f>COUNTIF('Outreach Queue'!$D$6:$D$37,"Internal Knowledge Assistant")</f>
        <v/>
      </c>
      <c r="G9" s="426">
        <f>COUNTIFS('Outreach Queue'!$D$6:$D$37,"Internal Knowledge Assistant",'Outreach Queue'!$A$6:$A$37,"Wave 1")</f>
        <v/>
      </c>
      <c r="H9" s="426">
        <f>COUNTIFS('Outreach Queue'!$D$6:$D$37,"Internal Knowledge Assistant",'Outreach Queue'!$B$6:$B$37,"Landing Link")</f>
        <v/>
      </c>
      <c r="I9" s="426">
        <f>COUNTIFS('Outreach Queue'!$D$6:$D$37,"Internal Knowledge Assistant",'Outreach Queue'!$B$6:$B$37,"No-Link Diagnostic")</f>
        <v/>
      </c>
      <c r="J9" s="426">
        <f>COUNTIFS('Outreach Queue'!$D$6:$D$37,"Internal Knowledge Assistant",'Outreach Queue'!$C$6:$C$37,"Hold")</f>
        <v/>
      </c>
      <c r="K9" s="63" t="inlineStr">
        <is>
          <t>https://dali.agents.ge/solutions/knowledge-assistant</t>
        </is>
      </c>
      <c r="L9" s="63" t="inlineStr">
        <is>
          <t>Citation coverage; grounded-answer acceptance; refusal precision; permission violations; retrieval latency; time saved.</t>
        </is>
      </c>
      <c r="M9" s="63" t="inlineStr">
        <is>
          <t>Upwork: reply in the Upwork thread with the initial source set and the users who should have access.</t>
        </is>
      </c>
      <c r="N9" s="63" t="inlineStr">
        <is>
          <t>Use four Wave 1 rows, including one no-link diagnostic. Hold the compliance-sensitive row until objections are reviewed.</t>
        </is>
      </c>
    </row>
    <row r="10" ht="84" customHeight="1">
      <c r="A10" s="425" t="n">
        <v>5</v>
      </c>
      <c r="B10" s="63" t="inlineStr">
        <is>
          <t>Voice Agents</t>
        </is>
      </c>
      <c r="C10" s="63" t="inlineStr">
        <is>
          <t>Voice-agent design-partner pilot</t>
        </is>
      </c>
      <c r="D10" s="63" t="inlineStr">
        <is>
          <t>Turn one repeatable call flow into a supervised voice agent.</t>
        </is>
      </c>
      <c r="E10" s="63" t="inlineStr">
        <is>
          <t>One call type; one language; one telephony provider; one CRM; one calendar or next action; one transfer path; transcripts, summaries, latency checks, and failure routing.</t>
        </is>
      </c>
      <c r="F10" s="426">
        <f>COUNTIF('Outreach Queue'!$D$6:$D$37,"Voice Agents")</f>
        <v/>
      </c>
      <c r="G10" s="426">
        <f>COUNTIFS('Outreach Queue'!$D$6:$D$37,"Voice Agents",'Outreach Queue'!$A$6:$A$37,"Wave 1")</f>
        <v/>
      </c>
      <c r="H10" s="426">
        <f>COUNTIFS('Outreach Queue'!$D$6:$D$37,"Voice Agents",'Outreach Queue'!$B$6:$B$37,"Landing Link")</f>
        <v/>
      </c>
      <c r="I10" s="426">
        <f>COUNTIFS('Outreach Queue'!$D$6:$D$37,"Voice Agents",'Outreach Queue'!$B$6:$B$37,"No-Link Diagnostic")</f>
        <v/>
      </c>
      <c r="J10" s="426">
        <f>COUNTIFS('Outreach Queue'!$D$6:$D$37,"Voice Agents",'Outreach Queue'!$C$6:$C$37,"Hold")</f>
        <v/>
      </c>
      <c r="K10" s="63" t="inlineStr">
        <is>
          <t>https://dali.agents.ge/solutions/voice-agents</t>
        </is>
      </c>
      <c r="L10" s="63" t="inlineStr">
        <is>
          <t>Call completion; booking or qualified handoff; transfer success; response latency; interruption recovery; transcript and CRM-note accuracy.</t>
        </is>
      </c>
      <c r="M10" s="63" t="inlineStr">
        <is>
          <t>Research only. Do not send until the four launch funnels produce objection data.</t>
        </is>
      </c>
      <c r="N10" s="63" t="inlineStr">
        <is>
          <t>Both selected Voice rows are design-partner holds and are excluded from Wave 1.</t>
        </is>
      </c>
    </row>
    <row r="12">
      <c r="A12" s="249" t="inlineStr">
        <is>
          <t>Learning protocol</t>
        </is>
      </c>
      <c r="B12" s="1" t="n"/>
      <c r="C12" s="1" t="n"/>
      <c r="D12" s="1" t="n"/>
      <c r="E12" s="1" t="n"/>
      <c r="F12" s="1" t="n"/>
      <c r="G12" s="1" t="n"/>
      <c r="H12" s="1" t="n"/>
      <c r="I12" s="1" t="n"/>
      <c r="J12" s="1" t="n"/>
      <c r="K12" s="1" t="n"/>
      <c r="L12" s="1" t="n"/>
      <c r="M12" s="1" t="n"/>
      <c r="N12" s="1" t="n"/>
    </row>
    <row r="13">
      <c r="A13" s="417" t="inlineStr">
        <is>
          <t>1. Send only to matching listings.  2. Use the tagged landing URL on Landing Link rows only and omit it on No-Link Diagnostic rows.  3. Keep every Upwork conversation inside Upwork before contract.  4. After a reply, qualify and route to paid blueprint, direct pilot, or archive.  5. Record quoted and funded amounts, objection, archive reason, delivery hours, direct cost, and gross margin.  6. Treat all variant differences as directional because allocation is small and not randomized.  7. Never pool category, platform, language, or batch.  8. Run a later 1:1 randomized test within one stratum only after a baseline reply rate exists.</t>
        </is>
      </c>
      <c r="B13" s="418" t="n"/>
      <c r="C13" s="418" t="n"/>
      <c r="D13" s="418" t="n"/>
      <c r="E13" s="418" t="n"/>
      <c r="F13" s="418" t="n"/>
      <c r="G13" s="418" t="n"/>
      <c r="H13" s="418" t="n"/>
      <c r="I13" s="418" t="n"/>
      <c r="J13" s="418" t="n"/>
      <c r="K13" s="418" t="n"/>
      <c r="L13" s="418" t="n"/>
      <c r="M13" s="418" t="n"/>
      <c r="N13" s="401" t="n"/>
    </row>
    <row r="14">
      <c r="A14" s="419" t="n"/>
      <c r="N14" s="420" t="n"/>
    </row>
    <row r="15">
      <c r="A15" s="421" t="n"/>
      <c r="B15" s="422" t="n"/>
      <c r="C15" s="422" t="n"/>
      <c r="D15" s="422" t="n"/>
      <c r="E15" s="422" t="n"/>
      <c r="F15" s="422" t="n"/>
      <c r="G15" s="422" t="n"/>
      <c r="H15" s="422" t="n"/>
      <c r="I15" s="422" t="n"/>
      <c r="J15" s="422" t="n"/>
      <c r="K15" s="422" t="n"/>
      <c r="L15" s="422" t="n"/>
      <c r="M15" s="422" t="n"/>
      <c r="N15" s="404" t="n"/>
    </row>
  </sheetData>
  <mergeCells count="4">
    <mergeCell ref="A12:N12"/>
    <mergeCell ref="A1:N2"/>
    <mergeCell ref="A3:N3"/>
    <mergeCell ref="A13:N15"/>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27"/>
  <sheetViews>
    <sheetView showGridLines="0" workbookViewId="0">
      <selection activeCell="A1" sqref="A1"/>
    </sheetView>
  </sheetViews>
  <sheetFormatPr baseColWidth="8" defaultRowHeight="15"/>
  <cols>
    <col width="16.67000007629395" customWidth="1" min="1" max="1"/>
    <col width="28.32999992370605" customWidth="1" min="2" max="2"/>
    <col width="57.77999877929688" customWidth="1" min="3" max="3"/>
    <col width="37.77999877929688" customWidth="1" min="4" max="4"/>
    <col width="11.67000007629395" customWidth="1" min="5" max="5"/>
  </cols>
  <sheetData>
    <row r="1" ht="24" customHeight="1">
      <c r="A1" s="9" t="inlineStr">
        <is>
          <t>Sources and decision evidence</t>
        </is>
      </c>
      <c r="B1" s="1" t="n"/>
      <c r="C1" s="1" t="n"/>
      <c r="D1" s="1" t="n"/>
      <c r="E1" s="1" t="n"/>
    </row>
    <row r="2" ht="24" customHeight="1">
      <c r="A2" s="1" t="n"/>
      <c r="B2" s="1" t="n"/>
      <c r="C2" s="1" t="n"/>
      <c r="D2" s="1" t="n"/>
      <c r="E2" s="1" t="n"/>
    </row>
    <row r="3" ht="24" customHeight="1">
      <c r="A3" s="17" t="inlineStr">
        <is>
          <t>Local marketplace snapshots define the selected rows. Official policy and product pages support channel rules, category language, and market packaging. URLs are plain text for auditability.</t>
        </is>
      </c>
      <c r="B3" s="1" t="n"/>
      <c r="C3" s="1" t="n"/>
      <c r="D3" s="1" t="n"/>
      <c r="E3" s="1" t="n"/>
    </row>
    <row r="5">
      <c r="A5" s="44" t="inlineStr">
        <is>
          <t>Source Type</t>
        </is>
      </c>
      <c r="B5" s="45" t="inlineStr">
        <is>
          <t>Source</t>
        </is>
      </c>
      <c r="C5" s="45" t="inlineStr">
        <is>
          <t>URL</t>
        </is>
      </c>
      <c r="D5" s="45" t="inlineStr">
        <is>
          <t>Role in Decision</t>
        </is>
      </c>
      <c r="E5" s="46" t="inlineStr">
        <is>
          <t>Snapshot Date</t>
        </is>
      </c>
    </row>
    <row r="6" ht="33" customHeight="1">
      <c r="A6" s="62" t="inlineStr">
        <is>
          <t>Internal snapshot</t>
        </is>
      </c>
      <c r="B6" s="62" t="inlineStr">
        <is>
          <t>Marketplace report: 158 Upwork and FL.ru listings</t>
        </is>
      </c>
      <c r="C6" s="62" t="inlineStr">
        <is>
          <t>file:///Users/dav/Desktop/reprojects/kora-v2/docs/%D0%A1%D0%B5%D0%BC/marketplace-report.html</t>
        </is>
      </c>
      <c r="D6" s="62" t="inlineStr">
        <is>
          <t>Primary listing evidence and request details</t>
        </is>
      </c>
      <c r="E6" s="427" t="n">
        <v>46231</v>
      </c>
    </row>
    <row r="7" ht="33" customHeight="1">
      <c r="A7" s="63" t="inlineStr">
        <is>
          <t>Internal selection</t>
        </is>
      </c>
      <c r="B7" s="63" t="inlineStr">
        <is>
          <t>Dali marketplace targets</t>
        </is>
      </c>
      <c r="C7" s="63" t="inlineStr">
        <is>
          <t>file:///Users/dav/Desktop/reprojects/kora-v2/docs/research/market/dali-marketplace-targets-2026-07-29.csv</t>
        </is>
      </c>
      <c r="D7" s="63" t="inlineStr">
        <is>
          <t>Selected 32 rows, match scores, budgets, competition, and listing URLs</t>
        </is>
      </c>
      <c r="E7" s="428" t="n">
        <v>46232</v>
      </c>
    </row>
    <row r="8" ht="33" customHeight="1">
      <c r="A8" s="63" t="inlineStr">
        <is>
          <t>Internal strategy</t>
        </is>
      </c>
      <c r="B8" s="63" t="inlineStr">
        <is>
          <t>Dali marketplace funnel strategy</t>
        </is>
      </c>
      <c r="C8" s="63" t="inlineStr">
        <is>
          <t>file:///Users/dav/Desktop/reprojects/kora-v2/docs/research/market/dali-marketplace-funnel-strategy-2026-07-29.md</t>
        </is>
      </c>
      <c r="D8" s="63" t="inlineStr">
        <is>
          <t>Offer architecture, pilot boundaries, metrics, and learning-wave rules</t>
        </is>
      </c>
      <c r="E8" s="428" t="n">
        <v>46232</v>
      </c>
    </row>
    <row r="9" ht="33" customHeight="1">
      <c r="A9" s="63" t="inlineStr">
        <is>
          <t>Internal playbook</t>
        </is>
      </c>
      <c r="B9" s="63" t="inlineStr">
        <is>
          <t>Dali marketplace sales playbook</t>
        </is>
      </c>
      <c r="C9" s="63" t="inlineStr">
        <is>
          <t>file:///Users/dav/Desktop/reprojects/kora-v2/docs/research/market/dali-marketplace-sales-playbook-2026-07-29.md</t>
        </is>
      </c>
      <c r="D9" s="63" t="inlineStr">
        <is>
          <t>Post-reply qualification, blueprint and pilot close, objections, follow-up, and archive rules</t>
        </is>
      </c>
      <c r="E9" s="428" t="n">
        <v>46232</v>
      </c>
    </row>
    <row r="10" ht="33" customHeight="1">
      <c r="A10" s="63" t="inlineStr">
        <is>
          <t>Agency</t>
        </is>
      </c>
      <c r="B10" s="63" t="inlineStr">
        <is>
          <t>Dali</t>
        </is>
      </c>
      <c r="C10" s="63" t="inlineStr">
        <is>
          <t>https://dali.agents.ge</t>
        </is>
      </c>
      <c r="D10" s="63" t="inlineStr">
        <is>
          <t>Current agency positioning and trust container</t>
        </is>
      </c>
      <c r="E10" s="428" t="n">
        <v>46232</v>
      </c>
    </row>
    <row r="11" ht="33" customHeight="1">
      <c r="A11" s="63" t="inlineStr">
        <is>
          <t>Marketplace policy</t>
        </is>
      </c>
      <c r="B11" s="63" t="inlineStr">
        <is>
          <t>Upwork: sharing files and external systems</t>
        </is>
      </c>
      <c r="C11" s="63" t="inlineStr">
        <is>
          <t>https://support.upwork.com/hc/en-us/articles/360049608113-How-to-share-documents-files-and-more-on-Upwork</t>
        </is>
      </c>
      <c r="D11" s="63" t="inlineStr">
        <is>
          <t>External scoping links are allowed, while communication rules still apply</t>
        </is>
      </c>
      <c r="E11" s="428" t="n">
        <v>46232</v>
      </c>
    </row>
    <row r="12" ht="33" customHeight="1">
      <c r="A12" s="63" t="inlineStr">
        <is>
          <t>Marketplace policy</t>
        </is>
      </c>
      <c r="B12" s="63" t="inlineStr">
        <is>
          <t>Upwork: pre-contract communication</t>
        </is>
      </c>
      <c r="C12" s="63" t="inlineStr">
        <is>
          <t>https://support.upwork.com/hc/en-us/articles/17995658941843--Get-to-know-each-other-before-a-contract</t>
        </is>
      </c>
      <c r="D12" s="63" t="inlineStr">
        <is>
          <t>Pre-contract communication must remain on Upwork</t>
        </is>
      </c>
      <c r="E12" s="428" t="n">
        <v>46232</v>
      </c>
    </row>
    <row r="13" ht="33" customHeight="1">
      <c r="A13" s="63" t="inlineStr">
        <is>
          <t>Marketplace policy</t>
        </is>
      </c>
      <c r="B13" s="63" t="inlineStr">
        <is>
          <t>Upwork: freelancer profile and portfolio</t>
        </is>
      </c>
      <c r="C13" s="63" t="inlineStr">
        <is>
          <t>https://support.upwork.com/hc/en-us/articles/360016144974-How-to-enhance-your-freelancer-profile</t>
        </is>
      </c>
      <c r="D13" s="63" t="inlineStr">
        <is>
          <t>Linked sites cannot expose off-platform contact information before contract</t>
        </is>
      </c>
      <c r="E13" s="428" t="n">
        <v>46232</v>
      </c>
    </row>
    <row r="14" ht="33" customHeight="1">
      <c r="A14" s="63" t="inlineStr">
        <is>
          <t>Automation market</t>
        </is>
      </c>
      <c r="B14" s="63" t="inlineStr">
        <is>
          <t>n8n pricing</t>
        </is>
      </c>
      <c r="C14" s="63" t="inlineStr">
        <is>
          <t>https://n8n.io/pricing/</t>
        </is>
      </c>
      <c r="D14" s="63" t="inlineStr">
        <is>
          <t>Workflow-execution packaging and price language</t>
        </is>
      </c>
      <c r="E14" s="428" t="n">
        <v>46232</v>
      </c>
    </row>
    <row r="15" ht="33" customHeight="1">
      <c r="A15" s="63" t="inlineStr">
        <is>
          <t>Automation market</t>
        </is>
      </c>
      <c r="B15" s="63" t="inlineStr">
        <is>
          <t>Zapier pricing</t>
        </is>
      </c>
      <c r="C15" s="63" t="inlineStr">
        <is>
          <t>https://zapier.com/pricing</t>
        </is>
      </c>
      <c r="D15" s="63" t="inlineStr">
        <is>
          <t>Automation packaging benchmark</t>
        </is>
      </c>
      <c r="E15" s="428" t="n">
        <v>46232</v>
      </c>
    </row>
    <row r="16" ht="33" customHeight="1">
      <c r="A16" s="63" t="inlineStr">
        <is>
          <t>Automation market</t>
        </is>
      </c>
      <c r="B16" s="63" t="inlineStr">
        <is>
          <t>Make pricing</t>
        </is>
      </c>
      <c r="C16" s="63" t="inlineStr">
        <is>
          <t>https://www.make.com/en/pricing</t>
        </is>
      </c>
      <c r="D16" s="63" t="inlineStr">
        <is>
          <t>Automation packaging benchmark</t>
        </is>
      </c>
      <c r="E16" s="428" t="n">
        <v>46232</v>
      </c>
    </row>
    <row r="17" ht="33" customHeight="1">
      <c r="A17" s="63" t="inlineStr">
        <is>
          <t>Lead-response market</t>
        </is>
      </c>
      <c r="B17" s="63" t="inlineStr">
        <is>
          <t>Intercom pricing</t>
        </is>
      </c>
      <c r="C17" s="63" t="inlineStr">
        <is>
          <t>https://www.intercom.com/pricing</t>
        </is>
      </c>
      <c r="D17" s="63" t="inlineStr">
        <is>
          <t>Support and outcome-based agent packaging</t>
        </is>
      </c>
      <c r="E17" s="428" t="n">
        <v>46232</v>
      </c>
    </row>
    <row r="18" ht="33" customHeight="1">
      <c r="A18" s="63" t="inlineStr">
        <is>
          <t>Lead-response market</t>
        </is>
      </c>
      <c r="B18" s="63" t="inlineStr">
        <is>
          <t>Zendesk AI agents</t>
        </is>
      </c>
      <c r="C18" s="63" t="inlineStr">
        <is>
          <t>https://www.zendesk.com/service/ai/ai-agents/</t>
        </is>
      </c>
      <c r="D18" s="63" t="inlineStr">
        <is>
          <t>Customer-service agent category language</t>
        </is>
      </c>
      <c r="E18" s="428" t="n">
        <v>46232</v>
      </c>
    </row>
    <row r="19" ht="33" customHeight="1">
      <c r="A19" s="63" t="inlineStr">
        <is>
          <t>Lead-response market</t>
        </is>
      </c>
      <c r="B19" s="63" t="inlineStr">
        <is>
          <t>HubSpot AI</t>
        </is>
      </c>
      <c r="C19" s="63" t="inlineStr">
        <is>
          <t>https://www.hubspot.com/products/artificial-intelligence</t>
        </is>
      </c>
      <c r="D19" s="63" t="inlineStr">
        <is>
          <t>CRM-centered AI packaging</t>
        </is>
      </c>
      <c r="E19" s="428" t="n">
        <v>46232</v>
      </c>
    </row>
    <row r="20" ht="33" customHeight="1">
      <c r="A20" s="63" t="inlineStr">
        <is>
          <t>Lead-response market</t>
        </is>
      </c>
      <c r="B20" s="63" t="inlineStr">
        <is>
          <t>Salesforce Agentforce pricing</t>
        </is>
      </c>
      <c r="C20" s="63" t="inlineStr">
        <is>
          <t>https://www.salesforce.com/agentforce/pricing/</t>
        </is>
      </c>
      <c r="D20" s="63" t="inlineStr">
        <is>
          <t>Outcome and usage-based agent pricing language</t>
        </is>
      </c>
      <c r="E20" s="428" t="n">
        <v>46232</v>
      </c>
    </row>
    <row r="21" ht="33" customHeight="1">
      <c r="A21" s="63" t="inlineStr">
        <is>
          <t>Knowledge market</t>
        </is>
      </c>
      <c r="B21" s="63" t="inlineStr">
        <is>
          <t>Glean</t>
        </is>
      </c>
      <c r="C21" s="63" t="inlineStr">
        <is>
          <t>https://www.glean.com/</t>
        </is>
      </c>
      <c r="D21" s="63" t="inlineStr">
        <is>
          <t>Enterprise knowledge-assistant positioning</t>
        </is>
      </c>
      <c r="E21" s="428" t="n">
        <v>46232</v>
      </c>
    </row>
    <row r="22" ht="33" customHeight="1">
      <c r="A22" s="63" t="inlineStr">
        <is>
          <t>Knowledge market</t>
        </is>
      </c>
      <c r="B22" s="63" t="inlineStr">
        <is>
          <t>Slack enterprise search</t>
        </is>
      </c>
      <c r="C22" s="63" t="inlineStr">
        <is>
          <t>https://slack.com/features/enterprise-search</t>
        </is>
      </c>
      <c r="D22" s="63" t="inlineStr">
        <is>
          <t>Permission-aware enterprise search language</t>
        </is>
      </c>
      <c r="E22" s="428" t="n">
        <v>46232</v>
      </c>
    </row>
    <row r="23" ht="33" customHeight="1">
      <c r="A23" s="63" t="inlineStr">
        <is>
          <t>Knowledge market</t>
        </is>
      </c>
      <c r="B23" s="63" t="inlineStr">
        <is>
          <t>Notion pricing</t>
        </is>
      </c>
      <c r="C23" s="63" t="inlineStr">
        <is>
          <t>https://www.notion.com/pricing</t>
        </is>
      </c>
      <c r="D23" s="63" t="inlineStr">
        <is>
          <t>Knowledge product pricing and packaging</t>
        </is>
      </c>
      <c r="E23" s="428" t="n">
        <v>46232</v>
      </c>
    </row>
    <row r="24" ht="33" customHeight="1">
      <c r="A24" s="63" t="inlineStr">
        <is>
          <t>Knowledge market</t>
        </is>
      </c>
      <c r="B24" s="63" t="inlineStr">
        <is>
          <t>Box AI Agents</t>
        </is>
      </c>
      <c r="C24" s="63" t="inlineStr">
        <is>
          <t>https://www.box.com/agents</t>
        </is>
      </c>
      <c r="D24" s="63" t="inlineStr">
        <is>
          <t>Content-grounded agent positioning</t>
        </is>
      </c>
      <c r="E24" s="428" t="n">
        <v>46232</v>
      </c>
    </row>
    <row r="25" ht="33" customHeight="1">
      <c r="A25" s="63" t="inlineStr">
        <is>
          <t>Voice market</t>
        </is>
      </c>
      <c r="B25" s="63" t="inlineStr">
        <is>
          <t>Vapi pricing</t>
        </is>
      </c>
      <c r="C25" s="63" t="inlineStr">
        <is>
          <t>https://vapi.ai/pricing</t>
        </is>
      </c>
      <c r="D25" s="63" t="inlineStr">
        <is>
          <t>Voice-agent usage economics</t>
        </is>
      </c>
      <c r="E25" s="428" t="n">
        <v>46232</v>
      </c>
    </row>
    <row r="26" ht="33" customHeight="1">
      <c r="A26" s="63" t="inlineStr">
        <is>
          <t>Voice market</t>
        </is>
      </c>
      <c r="B26" s="63" t="inlineStr">
        <is>
          <t>Retell pricing</t>
        </is>
      </c>
      <c r="C26" s="63" t="inlineStr">
        <is>
          <t>https://www.retellai.com/pricing</t>
        </is>
      </c>
      <c r="D26" s="63" t="inlineStr">
        <is>
          <t>Voice-agent per-minute economics</t>
        </is>
      </c>
      <c r="E26" s="428" t="n">
        <v>46232</v>
      </c>
    </row>
    <row r="27" ht="33" customHeight="1">
      <c r="A27" s="63" t="inlineStr">
        <is>
          <t>Voice market</t>
        </is>
      </c>
      <c r="B27" s="63" t="inlineStr">
        <is>
          <t>OpenAI Realtime guide</t>
        </is>
      </c>
      <c r="C27" s="63" t="inlineStr">
        <is>
          <t>https://developers.openai.com/api/docs/guides/realtime</t>
        </is>
      </c>
      <c r="D27" s="63" t="inlineStr">
        <is>
          <t>Realtime voice system capabilities and implementation context</t>
        </is>
      </c>
      <c r="E27" s="428" t="n">
        <v>46232</v>
      </c>
    </row>
  </sheetData>
  <mergeCells count="2">
    <mergeCell ref="A1:E2"/>
    <mergeCell ref="A3:E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2026-07-30T18:58:21Z</dcterms:created>
  <dcterms:modified xsi:type="dcterms:W3CDTF">2026-07-30T18:58:21Z</dcterms:modified>
</cp:coreProperties>
</file>